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bernstein/Library/CloudStorage/Dropbox-HarvardUniversity/Martin Bernstein/Fall 2025/Other/LCC/data/QFR/"/>
    </mc:Choice>
  </mc:AlternateContent>
  <xr:revisionPtr revIDLastSave="0" documentId="13_ncr:1_{7AC0F35A-C5C6-8D44-B8DD-06FC142741AC}" xr6:coauthVersionLast="47" xr6:coauthVersionMax="47" xr10:uidLastSave="{00000000-0000-0000-0000-000000000000}"/>
  <bookViews>
    <workbookView xWindow="660" yWindow="500" windowWidth="28340" windowHeight="15640" xr2:uid="{72E00772-7B34-8A4F-AF1B-430CC8F83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5" i="1" l="1"/>
  <c r="F60" i="1"/>
  <c r="F73" i="1"/>
  <c r="F71" i="1"/>
  <c r="F72" i="1"/>
  <c r="F48" i="1"/>
  <c r="F45" i="1"/>
  <c r="F41" i="1"/>
  <c r="F38" i="1"/>
  <c r="F35" i="1"/>
  <c r="F28" i="1"/>
  <c r="F24" i="1"/>
  <c r="F21" i="1"/>
  <c r="F19" i="1"/>
  <c r="F16" i="1"/>
  <c r="F13" i="1"/>
  <c r="F7" i="1"/>
  <c r="L71" i="1"/>
  <c r="L67" i="1"/>
  <c r="L60" i="1"/>
  <c r="L65" i="1" s="1"/>
  <c r="L45" i="1"/>
  <c r="L38" i="1"/>
  <c r="L28" i="1"/>
  <c r="L35" i="1" s="1"/>
  <c r="L24" i="1"/>
  <c r="L21" i="1"/>
  <c r="L16" i="1"/>
  <c r="L19" i="1" s="1"/>
  <c r="L13" i="1"/>
  <c r="L7" i="1"/>
  <c r="J71" i="1"/>
  <c r="J67" i="1"/>
  <c r="J60" i="1"/>
  <c r="J65" i="1" s="1"/>
  <c r="J45" i="1"/>
  <c r="J38" i="1"/>
  <c r="J28" i="1"/>
  <c r="J35" i="1" s="1"/>
  <c r="J24" i="1"/>
  <c r="J21" i="1"/>
  <c r="J16" i="1"/>
  <c r="J19" i="1" s="1"/>
  <c r="J13" i="1"/>
  <c r="J7" i="1"/>
  <c r="H71" i="1"/>
  <c r="H67" i="1"/>
  <c r="H60" i="1"/>
  <c r="H65" i="1" s="1"/>
  <c r="H45" i="1"/>
  <c r="H38" i="1"/>
  <c r="H28" i="1"/>
  <c r="H35" i="1" s="1"/>
  <c r="H24" i="1"/>
  <c r="H21" i="1"/>
  <c r="H16" i="1"/>
  <c r="H19" i="1" s="1"/>
  <c r="H13" i="1"/>
  <c r="H7" i="1"/>
  <c r="F67" i="1"/>
  <c r="F74" i="1" l="1"/>
  <c r="H41" i="1"/>
  <c r="L41" i="1"/>
  <c r="J41" i="1"/>
  <c r="J73" i="1" s="1"/>
  <c r="L73" i="1"/>
  <c r="L48" i="1"/>
  <c r="L72" i="1"/>
  <c r="J72" i="1"/>
  <c r="H73" i="1"/>
  <c r="H48" i="1"/>
  <c r="H72" i="1"/>
  <c r="H74" i="1" s="1"/>
  <c r="J48" i="1" l="1"/>
  <c r="L74" i="1"/>
  <c r="J74" i="1"/>
</calcChain>
</file>

<file path=xl/sharedStrings.xml><?xml version="1.0" encoding="utf-8"?>
<sst xmlns="http://schemas.openxmlformats.org/spreadsheetml/2006/main" count="780" uniqueCount="247">
  <si>
    <t>QUARTER &amp; YEAR</t>
  </si>
  <si>
    <t>1Q 2025</t>
  </si>
  <si>
    <t>INDUSTRY CODE</t>
  </si>
  <si>
    <t>311</t>
  </si>
  <si>
    <t>312</t>
  </si>
  <si>
    <t>313</t>
  </si>
  <si>
    <t>315</t>
  </si>
  <si>
    <t>321</t>
  </si>
  <si>
    <t>322</t>
  </si>
  <si>
    <t>323</t>
  </si>
  <si>
    <t>324</t>
  </si>
  <si>
    <t>325</t>
  </si>
  <si>
    <t>326</t>
  </si>
  <si>
    <t>327</t>
  </si>
  <si>
    <t>331</t>
  </si>
  <si>
    <t>332</t>
  </si>
  <si>
    <t>333</t>
  </si>
  <si>
    <t>334</t>
  </si>
  <si>
    <t>335</t>
  </si>
  <si>
    <t>337</t>
  </si>
  <si>
    <t>339</t>
  </si>
  <si>
    <t>371</t>
  </si>
  <si>
    <t>374</t>
  </si>
  <si>
    <t>375</t>
  </si>
  <si>
    <t>376</t>
  </si>
  <si>
    <t>381</t>
  </si>
  <si>
    <t>384</t>
  </si>
  <si>
    <t>385</t>
  </si>
  <si>
    <t>386</t>
  </si>
  <si>
    <t>421</t>
  </si>
  <si>
    <t>422</t>
  </si>
  <si>
    <t>445</t>
  </si>
  <si>
    <t>450</t>
  </si>
  <si>
    <t>512</t>
  </si>
  <si>
    <t>513</t>
  </si>
  <si>
    <t>516</t>
  </si>
  <si>
    <t>545</t>
  </si>
  <si>
    <t>546</t>
  </si>
  <si>
    <t>547</t>
  </si>
  <si>
    <t>549</t>
  </si>
  <si>
    <t>CHEM</t>
  </si>
  <si>
    <t>COMP</t>
  </si>
  <si>
    <t>PRIM</t>
  </si>
  <si>
    <t>TDUR</t>
  </si>
  <si>
    <t>TINF</t>
  </si>
  <si>
    <t>TMFG</t>
  </si>
  <si>
    <t>TMIN</t>
  </si>
  <si>
    <t>TNDU</t>
  </si>
  <si>
    <t>TPTS</t>
  </si>
  <si>
    <t>TRAN</t>
  </si>
  <si>
    <t>TRET</t>
  </si>
  <si>
    <t>TWHS</t>
  </si>
  <si>
    <t>ASSET SIZE CODE</t>
  </si>
  <si>
    <t>04</t>
  </si>
  <si>
    <t>05</t>
  </si>
  <si>
    <t>11</t>
  </si>
  <si>
    <t>01</t>
  </si>
  <si>
    <t>02</t>
  </si>
  <si>
    <t>03</t>
  </si>
  <si>
    <t>06</t>
  </si>
  <si>
    <t>07</t>
  </si>
  <si>
    <t>08</t>
  </si>
  <si>
    <t>09</t>
  </si>
  <si>
    <t>10</t>
  </si>
  <si>
    <t>SALES</t>
  </si>
  <si>
    <t>Net sales, receipts, and operating revenues</t>
  </si>
  <si>
    <t>DEPREC</t>
  </si>
  <si>
    <t>Depreciation, depletion, and amortization of property, plant, and equipment</t>
  </si>
  <si>
    <t>OTHERCOST</t>
  </si>
  <si>
    <t>All other operating costs and expenses</t>
  </si>
  <si>
    <t>OPERINC</t>
  </si>
  <si>
    <t>Income (loss) from operations</t>
  </si>
  <si>
    <t>INTEXP</t>
  </si>
  <si>
    <t>Interest expense</t>
  </si>
  <si>
    <t>DIVINC</t>
  </si>
  <si>
    <t>Dividend income ¹</t>
  </si>
  <si>
    <t>OTHNOPEXP</t>
  </si>
  <si>
    <t>Other nonoperating income</t>
  </si>
  <si>
    <t>NONRECUR</t>
  </si>
  <si>
    <t>Nonrecurring items, including gain (loss) on sale of assets, restructuring costs, asset writedowns, disposal of business segments, etc. ¹</t>
  </si>
  <si>
    <t>EQUITYINC</t>
  </si>
  <si>
    <t>Net income (loss) of foreign branches and equity in earnings (losses) of domestic and foreign nonconsolidated subsidiaries and other investments accounted for by the equity method, net of foreign taxes ¹</t>
  </si>
  <si>
    <t>NIBT</t>
  </si>
  <si>
    <t>Income (loss) before income taxes</t>
  </si>
  <si>
    <t>FEDTAXES</t>
  </si>
  <si>
    <t>Provision for current and deferred domestic income taxes</t>
  </si>
  <si>
    <t>OTHERTAX</t>
  </si>
  <si>
    <t>Provision for current and deferred domestic income taxes: Other ¹</t>
  </si>
  <si>
    <t>NIAT</t>
  </si>
  <si>
    <t>Income (loss) after income taxes</t>
  </si>
  <si>
    <t>EXTRAORD</t>
  </si>
  <si>
    <t>Extraordinary gains (losses), net of taxes ¹</t>
  </si>
  <si>
    <t>CUMACTG</t>
  </si>
  <si>
    <t>Cumulative effect of accounting changes, net of taxes ¹</t>
  </si>
  <si>
    <t>NIQUARTER</t>
  </si>
  <si>
    <t>Net income (loss) for quarter ¹</t>
  </si>
  <si>
    <t>DIVIDENDS</t>
  </si>
  <si>
    <t>Cash dividends charged to retained earnings this quarter</t>
  </si>
  <si>
    <t>NIRTINBUS</t>
  </si>
  <si>
    <t>Net income retained in business</t>
  </si>
  <si>
    <t>RETBEG</t>
  </si>
  <si>
    <t>Retained earnings at beginning of quarter</t>
  </si>
  <si>
    <t>OTHERCRDR</t>
  </si>
  <si>
    <t>Other direct credits (charges) to retained earnings (net), including stock and other non-cash dividends, etc.</t>
  </si>
  <si>
    <t>RETEND</t>
  </si>
  <si>
    <t>Retained earnings at end of quarter</t>
  </si>
  <si>
    <t>CASH</t>
  </si>
  <si>
    <t>Cash and demand deposits in the U.S.</t>
  </si>
  <si>
    <t>TIMEDEP</t>
  </si>
  <si>
    <t>Time deposits in the U.S., including negotiable certificates of deposit</t>
  </si>
  <si>
    <t>DEPOUTUS</t>
  </si>
  <si>
    <t>Cash and deposits outside the U.S. ¹</t>
  </si>
  <si>
    <t>TOTALCASH</t>
  </si>
  <si>
    <t>Total cash on hand and in banks ²</t>
  </si>
  <si>
    <t>TREASSEC1</t>
  </si>
  <si>
    <t>U.S. Treasury and Federal agency securities: Subject to agreements to sell ¹</t>
  </si>
  <si>
    <t>TREASSEC2</t>
  </si>
  <si>
    <t>U.S. Treasury and Federal agency securities: Other, due in 1 year or less ¹</t>
  </si>
  <si>
    <t>COMMPAPER</t>
  </si>
  <si>
    <t>Commercial and finance company paper of U.S. issuers ¹</t>
  </si>
  <si>
    <t>STATESEC</t>
  </si>
  <si>
    <t>State and local government securities, due in 1 year or less ¹</t>
  </si>
  <si>
    <t>FOREGNSEC</t>
  </si>
  <si>
    <t>Foreign securities, due in 1 year or less ¹</t>
  </si>
  <si>
    <t>OTHSTINV</t>
  </si>
  <si>
    <t>Other short-term financial investments ²</t>
  </si>
  <si>
    <t>TOCASHSEC</t>
  </si>
  <si>
    <t>Total cash, U.S. Government and other securities</t>
  </si>
  <si>
    <t>RECUSGOVT</t>
  </si>
  <si>
    <t>Trade receivables from U.S. Government ¹</t>
  </si>
  <si>
    <t>ACCTRECEV</t>
  </si>
  <si>
    <t>TOTRECEV</t>
  </si>
  <si>
    <t>INVENTORY</t>
  </si>
  <si>
    <t>OTHCURASS</t>
  </si>
  <si>
    <t>TOCRASSET</t>
  </si>
  <si>
    <t>Total receivables ¹</t>
  </si>
  <si>
    <t>FIXASSETS</t>
  </si>
  <si>
    <t>Inventories</t>
  </si>
  <si>
    <t>LAND</t>
  </si>
  <si>
    <t>All other current assets</t>
  </si>
  <si>
    <t>ACCDEPREC</t>
  </si>
  <si>
    <t>Total current assets</t>
  </si>
  <si>
    <t>NETPPE</t>
  </si>
  <si>
    <t>Property, plant, and equipment</t>
  </si>
  <si>
    <t>TREASSEC3</t>
  </si>
  <si>
    <t>Land and mineral rights</t>
  </si>
  <si>
    <t>OTHNCASST</t>
  </si>
  <si>
    <t>Accumulated depreciation, depletion, and amortization</t>
  </si>
  <si>
    <t>TOTASSET</t>
  </si>
  <si>
    <t>Net property, plant, and equipment</t>
  </si>
  <si>
    <t>STBANK</t>
  </si>
  <si>
    <t>U.S. Treasury and Federal agency securities, due in more than 1 year ¹</t>
  </si>
  <si>
    <t>COMPAPER</t>
  </si>
  <si>
    <t>STDEBTOTH</t>
  </si>
  <si>
    <t>ADVUSGOVT</t>
  </si>
  <si>
    <t>Total Assets</t>
  </si>
  <si>
    <t>ACCTPAY</t>
  </si>
  <si>
    <t>Short-term debt, original maturity 1 year or less: Loans from banks</t>
  </si>
  <si>
    <t>FEDTAXPAY</t>
  </si>
  <si>
    <t>Short-term debt, original maturity 1 year or less: Commercial paper ¹</t>
  </si>
  <si>
    <t>OTHTAXPAY</t>
  </si>
  <si>
    <t>INSTBANKS</t>
  </si>
  <si>
    <t>INSTBONDS</t>
  </si>
  <si>
    <t>INSTOTHER</t>
  </si>
  <si>
    <t>Advances and prepayments by the U.S. Government ¹</t>
  </si>
  <si>
    <t>OTCURLIAB</t>
  </si>
  <si>
    <t>Trade accounts and trade notes payable</t>
  </si>
  <si>
    <t>TOCRLIAB</t>
  </si>
  <si>
    <t>Income taxes accrued, prior and current years, net of payments: Federal ¹</t>
  </si>
  <si>
    <t>LTBNKDEBT</t>
  </si>
  <si>
    <t>Income taxes accrued, prior and current years, net of payments: Other ²</t>
  </si>
  <si>
    <t>LTBNDDEBT</t>
  </si>
  <si>
    <t>LTOTHDEBT</t>
  </si>
  <si>
    <t>Current portion of long-term debt, due in 1 year or less: Loans from banks</t>
  </si>
  <si>
    <t>OTHNCLIAB</t>
  </si>
  <si>
    <t>TOTLIAB</t>
  </si>
  <si>
    <t>CAPSTOCK</t>
  </si>
  <si>
    <t>RETEARN</t>
  </si>
  <si>
    <t>CUMFORCUR</t>
  </si>
  <si>
    <t>OTSEITEMS</t>
  </si>
  <si>
    <t>TREASSTK</t>
  </si>
  <si>
    <t>Total current liabilities</t>
  </si>
  <si>
    <t>STHLDEQUI</t>
  </si>
  <si>
    <t>Long-term debt, due in more than 1 year: Loans from banks</t>
  </si>
  <si>
    <t>TLIABEQUI</t>
  </si>
  <si>
    <t>Long-term debt, due in more than 1 year: Bonds and debentures ¹</t>
  </si>
  <si>
    <t>NETWKCAP</t>
  </si>
  <si>
    <t>Long-term debt (due in more than 1 year): Other long-term loans</t>
  </si>
  <si>
    <t>Total liabilities</t>
  </si>
  <si>
    <t>Capital stock and other capital ²</t>
  </si>
  <si>
    <t>Retained earnings</t>
  </si>
  <si>
    <t>Cumulative foreign currency translation adjustment ¹</t>
  </si>
  <si>
    <t>Treasury stock at cost ¹</t>
  </si>
  <si>
    <t>Stockholders’ equity</t>
  </si>
  <si>
    <t>Total Liabilities and Stockholders’ Equity</t>
  </si>
  <si>
    <t>Other trade accounts and trade notes receivable (less allowance for doubtful accounts) ²</t>
  </si>
  <si>
    <t>All other noncurrent assets, including investment in nonconsolidated entities, long-term investments, intangibles, etc.</t>
  </si>
  <si>
    <t>Short-term debt, original maturity 1 year or less: Other short-term loans (sometimes incl. commercial paper)</t>
  </si>
  <si>
    <t>Current portion of long-term debt, due in 1 year or less: Bonds and debentures ¹</t>
  </si>
  <si>
    <t>Current portion of long-term debt, due in 1 year or less: Other long-term loans</t>
  </si>
  <si>
    <t>All other current liabilities, including excise and sales taxes, and accrued expenses</t>
  </si>
  <si>
    <t>All other noncurrent liabilities, including deferred income taxes, capitalized leases, and minority stockholders’ interest in consolidated domestic corporations</t>
  </si>
  <si>
    <t>Other stockholders’ equity items, including unearned compensation and ESOP debt guarantees ¹</t>
  </si>
  <si>
    <t>Net Working Capital: Excess of total current assets over total current liabilities</t>
  </si>
  <si>
    <t>FLOW THIS Q</t>
  </si>
  <si>
    <t>STOCK (assets, cash)</t>
  </si>
  <si>
    <t>STOCK (assets, financial)</t>
  </si>
  <si>
    <t>STOCK (assets, cash and financial)</t>
  </si>
  <si>
    <t>STOCK (assets, receivables)</t>
  </si>
  <si>
    <t>STOCK (assets, inventories)</t>
  </si>
  <si>
    <t>STOCK (assets, other)</t>
  </si>
  <si>
    <t>STOCK (assets, current)</t>
  </si>
  <si>
    <t>STOCK (assets, noncurrent)</t>
  </si>
  <si>
    <t>STOCK (assets, total)</t>
  </si>
  <si>
    <t>STOCK (liabilities, current)</t>
  </si>
  <si>
    <t>STOCK (liabilities, noncurrent)</t>
  </si>
  <si>
    <t>STOCK (liabilities, total)</t>
  </si>
  <si>
    <t>STOCK (capital)</t>
  </si>
  <si>
    <t>STOCK (equity)</t>
  </si>
  <si>
    <t>STOCK (net working capital)</t>
  </si>
  <si>
    <t>2Q 2025</t>
  </si>
  <si>
    <t>STOCK (equity adjustment)</t>
  </si>
  <si>
    <t>STOCK (liabilities + equity = assets)</t>
  </si>
  <si>
    <t>INVESTED_STOCK</t>
  </si>
  <si>
    <t>FLOW LAST Q</t>
  </si>
  <si>
    <t>NET INFLOW THIS Q</t>
  </si>
  <si>
    <t>1.L</t>
  </si>
  <si>
    <t>1.A</t>
  </si>
  <si>
    <t>2.L</t>
  </si>
  <si>
    <t>2.E</t>
  </si>
  <si>
    <t>1.E</t>
  </si>
  <si>
    <t>0.LE</t>
  </si>
  <si>
    <t>3.L</t>
  </si>
  <si>
    <t>2.A</t>
  </si>
  <si>
    <t>3.A</t>
  </si>
  <si>
    <t>4.A</t>
  </si>
  <si>
    <t>5.A</t>
  </si>
  <si>
    <t>1.F</t>
  </si>
  <si>
    <t>2.F</t>
  </si>
  <si>
    <t>3.F</t>
  </si>
  <si>
    <t>4.F</t>
  </si>
  <si>
    <t>5.F</t>
  </si>
  <si>
    <t>6.F</t>
  </si>
  <si>
    <t>7.F</t>
  </si>
  <si>
    <t>-</t>
  </si>
  <si>
    <t>+</t>
  </si>
  <si>
    <t>Other.A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</si>
</sst>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" fontId="1" fillId="0" borderId="0" xfId="1" applyNumberFormat="1" applyAlignment="1">
      <alignment horizontal="right"/>
    </xf>
    <xf numFmtId="1" fontId="0" fillId="0" borderId="0" xfId="0" applyNumberFormat="1"/>
  </cellXfs>
  <cellStyles count="2">
    <cellStyle name="Normal" xfId="0" builtinId="0"/>
    <cellStyle name="Normal 3" xfId="1" xr:uid="{D0B89630-36CD-C347-8CB0-C3C41FAC64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26FC6-61B2-FA41-85A3-47D4EDC8FD6A}">
  <dimension ref="A1:EW75"/>
  <sheetViews>
    <sheetView tabSelected="1" zoomScale="82" workbookViewId="0">
      <pane xSplit="2" ySplit="3" topLeftCell="C4" activePane="bottomRight" state="frozen"/>
      <selection pane="topRight" activeCell="D1" sqref="D1"/>
      <selection pane="bottomLeft" activeCell="A4" sqref="A4"/>
      <selection pane="bottomRight" activeCell="D27" sqref="D27"/>
    </sheetView>
  </sheetViews>
  <sheetFormatPr baseColWidth="10" defaultRowHeight="16" x14ac:dyDescent="0.2"/>
  <cols>
    <col min="2" max="2" width="117.6640625" customWidth="1"/>
    <col min="3" max="5" width="29.5" customWidth="1"/>
    <col min="6" max="6" width="17" customWidth="1"/>
  </cols>
  <sheetData>
    <row r="1" spans="1:153" ht="18" x14ac:dyDescent="0.2">
      <c r="A1" t="s">
        <v>0</v>
      </c>
      <c r="G1" t="s">
        <v>1</v>
      </c>
      <c r="I1" s="1" t="s">
        <v>220</v>
      </c>
      <c r="K1" t="s">
        <v>1</v>
      </c>
      <c r="M1" t="s">
        <v>220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1</v>
      </c>
      <c r="BP1" t="s">
        <v>1</v>
      </c>
      <c r="BQ1" t="s">
        <v>1</v>
      </c>
      <c r="BR1" t="s">
        <v>1</v>
      </c>
      <c r="BS1" t="s">
        <v>1</v>
      </c>
      <c r="BT1" t="s">
        <v>1</v>
      </c>
      <c r="BU1" t="s">
        <v>1</v>
      </c>
      <c r="BV1" t="s">
        <v>1</v>
      </c>
      <c r="BW1" t="s">
        <v>1</v>
      </c>
      <c r="BX1" t="s">
        <v>1</v>
      </c>
      <c r="BY1" t="s">
        <v>1</v>
      </c>
      <c r="BZ1" t="s">
        <v>1</v>
      </c>
      <c r="CA1" t="s">
        <v>1</v>
      </c>
      <c r="CB1" t="s">
        <v>1</v>
      </c>
      <c r="CC1" t="s">
        <v>1</v>
      </c>
      <c r="CD1" t="s">
        <v>1</v>
      </c>
      <c r="CE1" t="s">
        <v>1</v>
      </c>
      <c r="CF1" t="s">
        <v>1</v>
      </c>
      <c r="CG1" t="s">
        <v>1</v>
      </c>
      <c r="CH1" t="s">
        <v>1</v>
      </c>
      <c r="CI1" t="s">
        <v>1</v>
      </c>
      <c r="CJ1" t="s">
        <v>1</v>
      </c>
      <c r="CK1" t="s">
        <v>1</v>
      </c>
      <c r="CL1" t="s">
        <v>1</v>
      </c>
      <c r="CM1" t="s">
        <v>1</v>
      </c>
      <c r="CN1" t="s">
        <v>1</v>
      </c>
      <c r="CO1" t="s">
        <v>1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1</v>
      </c>
      <c r="CV1" t="s">
        <v>1</v>
      </c>
      <c r="CW1" t="s">
        <v>1</v>
      </c>
      <c r="CX1" t="s">
        <v>1</v>
      </c>
      <c r="CY1" t="s">
        <v>1</v>
      </c>
      <c r="CZ1" t="s">
        <v>1</v>
      </c>
      <c r="DA1" t="s">
        <v>1</v>
      </c>
      <c r="DB1" t="s">
        <v>1</v>
      </c>
      <c r="DC1" t="s">
        <v>1</v>
      </c>
      <c r="DD1" t="s">
        <v>1</v>
      </c>
      <c r="DE1" t="s">
        <v>1</v>
      </c>
      <c r="DF1" t="s">
        <v>1</v>
      </c>
      <c r="DG1" t="s">
        <v>1</v>
      </c>
      <c r="DH1" t="s">
        <v>1</v>
      </c>
      <c r="DI1" t="s">
        <v>1</v>
      </c>
      <c r="DJ1" t="s">
        <v>1</v>
      </c>
      <c r="DK1" t="s">
        <v>1</v>
      </c>
      <c r="DL1" t="s">
        <v>1</v>
      </c>
      <c r="DM1" t="s">
        <v>1</v>
      </c>
      <c r="DN1" t="s">
        <v>1</v>
      </c>
      <c r="DO1" t="s">
        <v>1</v>
      </c>
      <c r="DP1" t="s">
        <v>1</v>
      </c>
      <c r="DQ1" t="s">
        <v>1</v>
      </c>
      <c r="DR1" t="s">
        <v>1</v>
      </c>
      <c r="DS1" t="s">
        <v>1</v>
      </c>
      <c r="DT1" t="s">
        <v>1</v>
      </c>
      <c r="DU1" t="s">
        <v>1</v>
      </c>
      <c r="DV1" t="s">
        <v>1</v>
      </c>
      <c r="DW1" t="s">
        <v>1</v>
      </c>
      <c r="DX1" t="s">
        <v>1</v>
      </c>
      <c r="DY1" t="s">
        <v>1</v>
      </c>
      <c r="DZ1" t="s">
        <v>1</v>
      </c>
      <c r="EA1" t="s">
        <v>1</v>
      </c>
      <c r="EB1" t="s">
        <v>1</v>
      </c>
      <c r="EC1" t="s">
        <v>1</v>
      </c>
      <c r="ED1" t="s">
        <v>1</v>
      </c>
      <c r="EE1" t="s">
        <v>1</v>
      </c>
      <c r="EF1" t="s">
        <v>1</v>
      </c>
      <c r="EG1" t="s">
        <v>1</v>
      </c>
      <c r="EH1" t="s">
        <v>1</v>
      </c>
      <c r="EI1" t="s">
        <v>1</v>
      </c>
      <c r="EJ1" t="s">
        <v>1</v>
      </c>
      <c r="EK1" t="s">
        <v>1</v>
      </c>
      <c r="EL1" t="s">
        <v>1</v>
      </c>
      <c r="EM1" t="s">
        <v>1</v>
      </c>
      <c r="EN1" t="s">
        <v>1</v>
      </c>
      <c r="EO1" t="s">
        <v>1</v>
      </c>
      <c r="EP1" t="s">
        <v>1</v>
      </c>
      <c r="EQ1" t="s">
        <v>1</v>
      </c>
      <c r="ER1" t="s">
        <v>1</v>
      </c>
      <c r="ES1" t="s">
        <v>1</v>
      </c>
      <c r="ET1" t="s">
        <v>1</v>
      </c>
      <c r="EU1" t="s">
        <v>1</v>
      </c>
      <c r="EV1" t="s">
        <v>1</v>
      </c>
      <c r="EW1" t="s">
        <v>1</v>
      </c>
    </row>
    <row r="2" spans="1:153" ht="18" x14ac:dyDescent="0.2">
      <c r="A2" t="s">
        <v>2</v>
      </c>
      <c r="G2" t="s">
        <v>3</v>
      </c>
      <c r="I2" s="1" t="s">
        <v>3</v>
      </c>
      <c r="K2" t="s">
        <v>3</v>
      </c>
      <c r="M2" t="s">
        <v>3</v>
      </c>
      <c r="N2" t="s">
        <v>3</v>
      </c>
      <c r="O2" t="s">
        <v>4</v>
      </c>
      <c r="P2" t="s">
        <v>4</v>
      </c>
      <c r="Q2" t="s">
        <v>4</v>
      </c>
      <c r="R2" t="s">
        <v>5</v>
      </c>
      <c r="S2" t="s">
        <v>5</v>
      </c>
      <c r="T2" t="s">
        <v>5</v>
      </c>
      <c r="U2" t="s">
        <v>6</v>
      </c>
      <c r="V2" t="s">
        <v>6</v>
      </c>
      <c r="W2" t="s">
        <v>6</v>
      </c>
      <c r="X2" t="s">
        <v>7</v>
      </c>
      <c r="Y2" t="s">
        <v>7</v>
      </c>
      <c r="Z2" t="s">
        <v>7</v>
      </c>
      <c r="AA2" t="s">
        <v>8</v>
      </c>
      <c r="AB2" t="s">
        <v>8</v>
      </c>
      <c r="AC2" t="s">
        <v>8</v>
      </c>
      <c r="AD2" t="s">
        <v>9</v>
      </c>
      <c r="AE2" t="s">
        <v>9</v>
      </c>
      <c r="AF2" t="s">
        <v>9</v>
      </c>
      <c r="AG2" t="s">
        <v>10</v>
      </c>
      <c r="AH2" t="s">
        <v>10</v>
      </c>
      <c r="AI2" t="s">
        <v>10</v>
      </c>
      <c r="AJ2" t="s">
        <v>11</v>
      </c>
      <c r="AK2" t="s">
        <v>11</v>
      </c>
      <c r="AL2" t="s">
        <v>11</v>
      </c>
      <c r="AM2" t="s">
        <v>12</v>
      </c>
      <c r="AN2" t="s">
        <v>12</v>
      </c>
      <c r="AO2" t="s">
        <v>12</v>
      </c>
      <c r="AP2" t="s">
        <v>13</v>
      </c>
      <c r="AQ2" t="s">
        <v>13</v>
      </c>
      <c r="AR2" t="s">
        <v>13</v>
      </c>
      <c r="AS2" t="s">
        <v>14</v>
      </c>
      <c r="AT2" t="s">
        <v>14</v>
      </c>
      <c r="AU2" t="s">
        <v>14</v>
      </c>
      <c r="AV2" t="s">
        <v>15</v>
      </c>
      <c r="AW2" t="s">
        <v>15</v>
      </c>
      <c r="AX2" t="s">
        <v>15</v>
      </c>
      <c r="AY2" t="s">
        <v>16</v>
      </c>
      <c r="AZ2" t="s">
        <v>16</v>
      </c>
      <c r="BA2" t="s">
        <v>16</v>
      </c>
      <c r="BB2" t="s">
        <v>17</v>
      </c>
      <c r="BC2" t="s">
        <v>17</v>
      </c>
      <c r="BD2" t="s">
        <v>17</v>
      </c>
      <c r="BE2" t="s">
        <v>18</v>
      </c>
      <c r="BF2" t="s">
        <v>18</v>
      </c>
      <c r="BG2" t="s">
        <v>18</v>
      </c>
      <c r="BH2" t="s">
        <v>19</v>
      </c>
      <c r="BI2" t="s">
        <v>19</v>
      </c>
      <c r="BJ2" t="s">
        <v>19</v>
      </c>
      <c r="BK2" t="s">
        <v>20</v>
      </c>
      <c r="BL2" t="s">
        <v>20</v>
      </c>
      <c r="BM2" t="s">
        <v>20</v>
      </c>
      <c r="BN2" t="s">
        <v>21</v>
      </c>
      <c r="BO2" t="s">
        <v>21</v>
      </c>
      <c r="BP2" t="s">
        <v>21</v>
      </c>
      <c r="BQ2" t="s">
        <v>22</v>
      </c>
      <c r="BR2" t="s">
        <v>22</v>
      </c>
      <c r="BS2" t="s">
        <v>22</v>
      </c>
      <c r="BT2" t="s">
        <v>23</v>
      </c>
      <c r="BU2" t="s">
        <v>23</v>
      </c>
      <c r="BV2" t="s">
        <v>23</v>
      </c>
      <c r="BW2" t="s">
        <v>24</v>
      </c>
      <c r="BX2" t="s">
        <v>24</v>
      </c>
      <c r="BY2" t="s">
        <v>24</v>
      </c>
      <c r="BZ2" t="s">
        <v>25</v>
      </c>
      <c r="CA2" t="s">
        <v>25</v>
      </c>
      <c r="CB2" t="s">
        <v>25</v>
      </c>
      <c r="CC2" t="s">
        <v>26</v>
      </c>
      <c r="CD2" t="s">
        <v>26</v>
      </c>
      <c r="CE2" t="s">
        <v>26</v>
      </c>
      <c r="CF2" t="s">
        <v>27</v>
      </c>
      <c r="CG2" t="s">
        <v>27</v>
      </c>
      <c r="CH2" t="s">
        <v>27</v>
      </c>
      <c r="CI2" t="s">
        <v>28</v>
      </c>
      <c r="CJ2" t="s">
        <v>28</v>
      </c>
      <c r="CK2" t="s">
        <v>28</v>
      </c>
      <c r="CL2" t="s">
        <v>29</v>
      </c>
      <c r="CM2" t="s">
        <v>30</v>
      </c>
      <c r="CN2" t="s">
        <v>31</v>
      </c>
      <c r="CO2">
        <v>458</v>
      </c>
      <c r="CP2" t="s">
        <v>32</v>
      </c>
      <c r="CQ2" t="s">
        <v>33</v>
      </c>
      <c r="CR2" t="s">
        <v>34</v>
      </c>
      <c r="CS2" t="s">
        <v>35</v>
      </c>
      <c r="CT2">
        <v>517</v>
      </c>
      <c r="CU2">
        <v>519</v>
      </c>
      <c r="CV2" t="s">
        <v>36</v>
      </c>
      <c r="CW2" t="s">
        <v>37</v>
      </c>
      <c r="CX2" t="s">
        <v>38</v>
      </c>
      <c r="CY2" t="s">
        <v>39</v>
      </c>
      <c r="CZ2" t="s">
        <v>40</v>
      </c>
      <c r="DA2" t="s">
        <v>40</v>
      </c>
      <c r="DB2" t="s">
        <v>40</v>
      </c>
      <c r="DC2" t="s">
        <v>41</v>
      </c>
      <c r="DD2" t="s">
        <v>41</v>
      </c>
      <c r="DE2" t="s">
        <v>41</v>
      </c>
      <c r="DF2" t="s">
        <v>42</v>
      </c>
      <c r="DG2" t="s">
        <v>42</v>
      </c>
      <c r="DH2" t="s">
        <v>42</v>
      </c>
      <c r="DI2" t="s">
        <v>43</v>
      </c>
      <c r="DJ2" t="s">
        <v>43</v>
      </c>
      <c r="DK2" t="s">
        <v>43</v>
      </c>
      <c r="DL2" t="s">
        <v>43</v>
      </c>
      <c r="DM2" t="s">
        <v>43</v>
      </c>
      <c r="DN2" t="s">
        <v>43</v>
      </c>
      <c r="DO2" t="s">
        <v>43</v>
      </c>
      <c r="DP2" t="s">
        <v>43</v>
      </c>
      <c r="DQ2" t="s">
        <v>43</v>
      </c>
      <c r="DR2" t="s">
        <v>43</v>
      </c>
      <c r="DS2" t="s">
        <v>43</v>
      </c>
      <c r="DT2" t="s">
        <v>44</v>
      </c>
      <c r="DU2" t="s">
        <v>45</v>
      </c>
      <c r="DV2" t="s">
        <v>45</v>
      </c>
      <c r="DW2" t="s">
        <v>45</v>
      </c>
      <c r="DX2" t="s">
        <v>45</v>
      </c>
      <c r="DY2" t="s">
        <v>45</v>
      </c>
      <c r="DZ2" t="s">
        <v>45</v>
      </c>
      <c r="EA2" t="s">
        <v>45</v>
      </c>
      <c r="EB2" t="s">
        <v>45</v>
      </c>
      <c r="EC2" t="s">
        <v>45</v>
      </c>
      <c r="ED2" t="s">
        <v>45</v>
      </c>
      <c r="EE2" t="s">
        <v>45</v>
      </c>
      <c r="EF2" t="s">
        <v>46</v>
      </c>
      <c r="EG2" t="s">
        <v>47</v>
      </c>
      <c r="EH2" t="s">
        <v>47</v>
      </c>
      <c r="EI2" t="s">
        <v>47</v>
      </c>
      <c r="EJ2" t="s">
        <v>47</v>
      </c>
      <c r="EK2" t="s">
        <v>47</v>
      </c>
      <c r="EL2" t="s">
        <v>47</v>
      </c>
      <c r="EM2" t="s">
        <v>47</v>
      </c>
      <c r="EN2" t="s">
        <v>47</v>
      </c>
      <c r="EO2" t="s">
        <v>47</v>
      </c>
      <c r="EP2" t="s">
        <v>47</v>
      </c>
      <c r="EQ2" t="s">
        <v>47</v>
      </c>
      <c r="ER2" t="s">
        <v>48</v>
      </c>
      <c r="ES2" t="s">
        <v>49</v>
      </c>
      <c r="ET2" t="s">
        <v>49</v>
      </c>
      <c r="EU2" t="s">
        <v>49</v>
      </c>
      <c r="EV2" t="s">
        <v>50</v>
      </c>
      <c r="EW2" t="s">
        <v>51</v>
      </c>
    </row>
    <row r="3" spans="1:153" ht="18" x14ac:dyDescent="0.2">
      <c r="A3" t="s">
        <v>52</v>
      </c>
      <c r="G3" t="s">
        <v>53</v>
      </c>
      <c r="I3" s="1" t="s">
        <v>53</v>
      </c>
      <c r="K3" t="s">
        <v>54</v>
      </c>
      <c r="M3" t="s">
        <v>54</v>
      </c>
      <c r="N3" t="s">
        <v>55</v>
      </c>
      <c r="O3" t="s">
        <v>53</v>
      </c>
      <c r="P3" t="s">
        <v>54</v>
      </c>
      <c r="Q3" t="s">
        <v>55</v>
      </c>
      <c r="R3" t="s">
        <v>53</v>
      </c>
      <c r="S3" t="s">
        <v>54</v>
      </c>
      <c r="T3" t="s">
        <v>55</v>
      </c>
      <c r="U3" t="s">
        <v>53</v>
      </c>
      <c r="V3" t="s">
        <v>54</v>
      </c>
      <c r="W3" t="s">
        <v>55</v>
      </c>
      <c r="X3" t="s">
        <v>53</v>
      </c>
      <c r="Y3" t="s">
        <v>54</v>
      </c>
      <c r="Z3" t="s">
        <v>55</v>
      </c>
      <c r="AA3" t="s">
        <v>53</v>
      </c>
      <c r="AB3" t="s">
        <v>54</v>
      </c>
      <c r="AC3" t="s">
        <v>55</v>
      </c>
      <c r="AD3" t="s">
        <v>53</v>
      </c>
      <c r="AE3" t="s">
        <v>54</v>
      </c>
      <c r="AF3" t="s">
        <v>55</v>
      </c>
      <c r="AG3" t="s">
        <v>53</v>
      </c>
      <c r="AH3" t="s">
        <v>54</v>
      </c>
      <c r="AI3" t="s">
        <v>55</v>
      </c>
      <c r="AJ3" t="s">
        <v>53</v>
      </c>
      <c r="AK3" t="s">
        <v>54</v>
      </c>
      <c r="AL3" t="s">
        <v>55</v>
      </c>
      <c r="AM3" t="s">
        <v>53</v>
      </c>
      <c r="AN3" t="s">
        <v>54</v>
      </c>
      <c r="AO3" t="s">
        <v>55</v>
      </c>
      <c r="AP3" t="s">
        <v>53</v>
      </c>
      <c r="AQ3" t="s">
        <v>54</v>
      </c>
      <c r="AR3" t="s">
        <v>55</v>
      </c>
      <c r="AS3" t="s">
        <v>53</v>
      </c>
      <c r="AT3" t="s">
        <v>54</v>
      </c>
      <c r="AU3" t="s">
        <v>55</v>
      </c>
      <c r="AV3" t="s">
        <v>53</v>
      </c>
      <c r="AW3" t="s">
        <v>54</v>
      </c>
      <c r="AX3" t="s">
        <v>55</v>
      </c>
      <c r="AY3" t="s">
        <v>53</v>
      </c>
      <c r="AZ3" t="s">
        <v>54</v>
      </c>
      <c r="BA3" t="s">
        <v>55</v>
      </c>
      <c r="BB3" t="s">
        <v>53</v>
      </c>
      <c r="BC3" t="s">
        <v>54</v>
      </c>
      <c r="BD3" t="s">
        <v>55</v>
      </c>
      <c r="BE3" t="s">
        <v>53</v>
      </c>
      <c r="BF3" t="s">
        <v>54</v>
      </c>
      <c r="BG3" t="s">
        <v>55</v>
      </c>
      <c r="BH3" t="s">
        <v>53</v>
      </c>
      <c r="BI3" t="s">
        <v>54</v>
      </c>
      <c r="BJ3" t="s">
        <v>55</v>
      </c>
      <c r="BK3" t="s">
        <v>53</v>
      </c>
      <c r="BL3" t="s">
        <v>54</v>
      </c>
      <c r="BM3" t="s">
        <v>55</v>
      </c>
      <c r="BN3" t="s">
        <v>53</v>
      </c>
      <c r="BO3" t="s">
        <v>54</v>
      </c>
      <c r="BP3" t="s">
        <v>55</v>
      </c>
      <c r="BQ3" t="s">
        <v>53</v>
      </c>
      <c r="BR3" t="s">
        <v>54</v>
      </c>
      <c r="BS3" t="s">
        <v>55</v>
      </c>
      <c r="BT3" t="s">
        <v>53</v>
      </c>
      <c r="BU3" t="s">
        <v>54</v>
      </c>
      <c r="BV3" t="s">
        <v>55</v>
      </c>
      <c r="BW3" t="s">
        <v>53</v>
      </c>
      <c r="BX3" t="s">
        <v>54</v>
      </c>
      <c r="BY3" t="s">
        <v>55</v>
      </c>
      <c r="BZ3" t="s">
        <v>53</v>
      </c>
      <c r="CA3" t="s">
        <v>54</v>
      </c>
      <c r="CB3" t="s">
        <v>55</v>
      </c>
      <c r="CC3" t="s">
        <v>53</v>
      </c>
      <c r="CD3" t="s">
        <v>54</v>
      </c>
      <c r="CE3" t="s">
        <v>55</v>
      </c>
      <c r="CF3" t="s">
        <v>53</v>
      </c>
      <c r="CG3" t="s">
        <v>54</v>
      </c>
      <c r="CH3" t="s">
        <v>55</v>
      </c>
      <c r="CI3" t="s">
        <v>53</v>
      </c>
      <c r="CJ3" t="s">
        <v>54</v>
      </c>
      <c r="CK3" t="s">
        <v>55</v>
      </c>
      <c r="CL3" t="s">
        <v>55</v>
      </c>
      <c r="CM3" t="s">
        <v>55</v>
      </c>
      <c r="CN3" t="s">
        <v>55</v>
      </c>
      <c r="CO3" t="s">
        <v>55</v>
      </c>
      <c r="CP3" t="s">
        <v>55</v>
      </c>
      <c r="CQ3" t="s">
        <v>55</v>
      </c>
      <c r="CR3" t="s">
        <v>55</v>
      </c>
      <c r="CS3" t="s">
        <v>55</v>
      </c>
      <c r="CT3" t="s">
        <v>55</v>
      </c>
      <c r="CU3" t="s">
        <v>55</v>
      </c>
      <c r="CV3" t="s">
        <v>55</v>
      </c>
      <c r="CW3" t="s">
        <v>55</v>
      </c>
      <c r="CX3" t="s">
        <v>55</v>
      </c>
      <c r="CY3" t="s">
        <v>55</v>
      </c>
      <c r="CZ3" t="s">
        <v>53</v>
      </c>
      <c r="DA3" t="s">
        <v>54</v>
      </c>
      <c r="DB3" t="s">
        <v>55</v>
      </c>
      <c r="DC3" t="s">
        <v>53</v>
      </c>
      <c r="DD3" t="s">
        <v>54</v>
      </c>
      <c r="DE3" t="s">
        <v>55</v>
      </c>
      <c r="DF3" t="s">
        <v>53</v>
      </c>
      <c r="DG3" t="s">
        <v>54</v>
      </c>
      <c r="DH3" t="s">
        <v>55</v>
      </c>
      <c r="DI3" t="s">
        <v>56</v>
      </c>
      <c r="DJ3" t="s">
        <v>57</v>
      </c>
      <c r="DK3" t="s">
        <v>58</v>
      </c>
      <c r="DL3" t="s">
        <v>53</v>
      </c>
      <c r="DM3" t="s">
        <v>54</v>
      </c>
      <c r="DN3" t="s">
        <v>59</v>
      </c>
      <c r="DO3" t="s">
        <v>60</v>
      </c>
      <c r="DP3" t="s">
        <v>61</v>
      </c>
      <c r="DQ3" t="s">
        <v>62</v>
      </c>
      <c r="DR3" t="s">
        <v>63</v>
      </c>
      <c r="DS3" t="s">
        <v>55</v>
      </c>
      <c r="DT3" t="s">
        <v>55</v>
      </c>
      <c r="DU3" t="s">
        <v>56</v>
      </c>
      <c r="DV3" t="s">
        <v>57</v>
      </c>
      <c r="DW3" t="s">
        <v>58</v>
      </c>
      <c r="DX3" t="s">
        <v>53</v>
      </c>
      <c r="DY3" t="s">
        <v>54</v>
      </c>
      <c r="DZ3" t="s">
        <v>59</v>
      </c>
      <c r="EA3" t="s">
        <v>60</v>
      </c>
      <c r="EB3" t="s">
        <v>61</v>
      </c>
      <c r="EC3" t="s">
        <v>62</v>
      </c>
      <c r="ED3" t="s">
        <v>63</v>
      </c>
      <c r="EE3" t="s">
        <v>55</v>
      </c>
      <c r="EF3" t="s">
        <v>55</v>
      </c>
      <c r="EG3" t="s">
        <v>56</v>
      </c>
      <c r="EH3" t="s">
        <v>57</v>
      </c>
      <c r="EI3" t="s">
        <v>58</v>
      </c>
      <c r="EJ3" t="s">
        <v>53</v>
      </c>
      <c r="EK3" t="s">
        <v>54</v>
      </c>
      <c r="EL3" t="s">
        <v>59</v>
      </c>
      <c r="EM3" t="s">
        <v>60</v>
      </c>
      <c r="EN3" t="s">
        <v>61</v>
      </c>
      <c r="EO3" t="s">
        <v>62</v>
      </c>
      <c r="EP3" t="s">
        <v>63</v>
      </c>
      <c r="EQ3" t="s">
        <v>55</v>
      </c>
      <c r="ER3" t="s">
        <v>55</v>
      </c>
      <c r="ES3" t="s">
        <v>53</v>
      </c>
      <c r="ET3" t="s">
        <v>54</v>
      </c>
      <c r="EU3" t="s">
        <v>55</v>
      </c>
      <c r="EV3" t="s">
        <v>55</v>
      </c>
      <c r="EW3" t="s">
        <v>55</v>
      </c>
    </row>
    <row r="4" spans="1:153" ht="18" x14ac:dyDescent="0.2">
      <c r="A4" t="s">
        <v>64</v>
      </c>
      <c r="B4" t="s">
        <v>65</v>
      </c>
      <c r="C4" t="s">
        <v>204</v>
      </c>
      <c r="D4" t="s">
        <v>243</v>
      </c>
      <c r="E4" t="s">
        <v>245</v>
      </c>
      <c r="G4">
        <v>12765</v>
      </c>
      <c r="I4" s="2">
        <v>12115</v>
      </c>
      <c r="K4">
        <v>155379</v>
      </c>
      <c r="M4">
        <v>154105</v>
      </c>
      <c r="N4">
        <v>168143</v>
      </c>
      <c r="O4">
        <v>1370</v>
      </c>
      <c r="P4">
        <v>54353</v>
      </c>
      <c r="Q4">
        <v>55723</v>
      </c>
      <c r="R4">
        <v>918</v>
      </c>
      <c r="S4">
        <v>6257</v>
      </c>
      <c r="T4">
        <v>7174</v>
      </c>
      <c r="U4">
        <v>1032</v>
      </c>
      <c r="V4">
        <v>21532</v>
      </c>
      <c r="W4">
        <v>22564</v>
      </c>
      <c r="X4">
        <v>3807</v>
      </c>
      <c r="Y4">
        <v>21194</v>
      </c>
      <c r="Z4">
        <v>25001</v>
      </c>
      <c r="AA4">
        <v>3145</v>
      </c>
      <c r="AB4">
        <v>27489</v>
      </c>
      <c r="AC4">
        <v>30634</v>
      </c>
      <c r="AD4">
        <v>2637</v>
      </c>
      <c r="AE4">
        <v>6844</v>
      </c>
      <c r="AF4">
        <v>9481</v>
      </c>
      <c r="AG4">
        <v>584</v>
      </c>
      <c r="AH4">
        <v>261433</v>
      </c>
      <c r="AI4">
        <v>262017</v>
      </c>
      <c r="AJ4">
        <v>3353</v>
      </c>
      <c r="AK4">
        <v>63450</v>
      </c>
      <c r="AL4">
        <v>66803</v>
      </c>
      <c r="AM4">
        <v>5644</v>
      </c>
      <c r="AN4">
        <v>46599</v>
      </c>
      <c r="AO4">
        <v>52243</v>
      </c>
      <c r="AP4">
        <v>3138</v>
      </c>
      <c r="AQ4">
        <v>32421</v>
      </c>
      <c r="AR4">
        <v>35559</v>
      </c>
      <c r="AS4">
        <v>718</v>
      </c>
      <c r="AT4">
        <v>5372</v>
      </c>
      <c r="AU4">
        <v>6090</v>
      </c>
      <c r="AV4">
        <v>18319</v>
      </c>
      <c r="AW4">
        <v>44608</v>
      </c>
      <c r="AX4">
        <v>62927</v>
      </c>
      <c r="AY4">
        <v>9533</v>
      </c>
      <c r="AZ4">
        <v>103434</v>
      </c>
      <c r="BA4">
        <v>112967</v>
      </c>
      <c r="BB4">
        <v>3791</v>
      </c>
      <c r="BC4">
        <v>108686</v>
      </c>
      <c r="BD4">
        <v>112477</v>
      </c>
      <c r="BE4">
        <v>3080</v>
      </c>
      <c r="BF4">
        <v>44562</v>
      </c>
      <c r="BG4">
        <v>47642</v>
      </c>
      <c r="BH4">
        <v>2823</v>
      </c>
      <c r="BI4">
        <v>15444</v>
      </c>
      <c r="BJ4">
        <v>18267</v>
      </c>
      <c r="BK4">
        <v>3638</v>
      </c>
      <c r="BL4">
        <v>66449</v>
      </c>
      <c r="BM4">
        <v>70086</v>
      </c>
      <c r="BN4">
        <v>865</v>
      </c>
      <c r="BO4">
        <v>36110</v>
      </c>
      <c r="BP4">
        <v>36975</v>
      </c>
      <c r="BQ4">
        <v>511</v>
      </c>
      <c r="BR4">
        <v>73998</v>
      </c>
      <c r="BS4">
        <v>74509</v>
      </c>
      <c r="BT4">
        <v>1624</v>
      </c>
      <c r="BU4">
        <v>67009</v>
      </c>
      <c r="BV4">
        <v>68633</v>
      </c>
      <c r="BW4">
        <v>3593</v>
      </c>
      <c r="BX4">
        <v>205674</v>
      </c>
      <c r="BY4">
        <v>209267</v>
      </c>
      <c r="BZ4">
        <v>1216</v>
      </c>
      <c r="CA4">
        <v>27748</v>
      </c>
      <c r="CB4">
        <v>28964</v>
      </c>
      <c r="CC4">
        <v>656</v>
      </c>
      <c r="CD4">
        <v>34419</v>
      </c>
      <c r="CE4">
        <v>35075</v>
      </c>
      <c r="CF4">
        <v>1193</v>
      </c>
      <c r="CG4">
        <v>163820</v>
      </c>
      <c r="CH4">
        <v>165013</v>
      </c>
      <c r="CI4">
        <v>1257</v>
      </c>
      <c r="CJ4">
        <v>86230</v>
      </c>
      <c r="CK4">
        <v>87487</v>
      </c>
      <c r="CL4">
        <v>367361</v>
      </c>
      <c r="CM4">
        <v>543735</v>
      </c>
      <c r="CN4">
        <v>154984</v>
      </c>
      <c r="CO4">
        <v>415869</v>
      </c>
      <c r="CP4">
        <v>457549</v>
      </c>
      <c r="CQ4">
        <v>7811</v>
      </c>
      <c r="CR4">
        <v>121485</v>
      </c>
      <c r="CS4">
        <v>73566</v>
      </c>
      <c r="CT4">
        <v>155266</v>
      </c>
      <c r="CU4">
        <v>86832</v>
      </c>
      <c r="CV4">
        <v>105114</v>
      </c>
      <c r="CW4">
        <v>37548</v>
      </c>
      <c r="CX4">
        <v>18982</v>
      </c>
      <c r="CY4">
        <v>60452</v>
      </c>
      <c r="CZ4">
        <v>6169</v>
      </c>
      <c r="DA4">
        <v>294279</v>
      </c>
      <c r="DB4">
        <v>300449</v>
      </c>
      <c r="DC4">
        <v>4957</v>
      </c>
      <c r="DD4">
        <v>217103</v>
      </c>
      <c r="DE4">
        <v>222060</v>
      </c>
      <c r="DF4">
        <v>2799</v>
      </c>
      <c r="DG4">
        <v>69230</v>
      </c>
      <c r="DH4">
        <v>72028</v>
      </c>
      <c r="DI4">
        <v>19780</v>
      </c>
      <c r="DJ4">
        <v>20876</v>
      </c>
      <c r="DK4">
        <v>17868</v>
      </c>
      <c r="DL4">
        <v>58525</v>
      </c>
      <c r="DM4">
        <v>929371</v>
      </c>
      <c r="DN4">
        <v>17842</v>
      </c>
      <c r="DO4">
        <v>29542</v>
      </c>
      <c r="DP4">
        <v>46271</v>
      </c>
      <c r="DQ4">
        <v>140261</v>
      </c>
      <c r="DR4">
        <v>695454</v>
      </c>
      <c r="DS4">
        <v>987896</v>
      </c>
      <c r="DT4">
        <v>444960</v>
      </c>
      <c r="DU4">
        <v>28554</v>
      </c>
      <c r="DV4">
        <v>34642</v>
      </c>
      <c r="DW4">
        <v>29592</v>
      </c>
      <c r="DX4">
        <v>92788</v>
      </c>
      <c r="DY4">
        <v>1803536</v>
      </c>
      <c r="DZ4">
        <v>31400</v>
      </c>
      <c r="EA4">
        <v>48944</v>
      </c>
      <c r="EB4">
        <v>87038</v>
      </c>
      <c r="EC4">
        <v>236495</v>
      </c>
      <c r="ED4">
        <v>1399659</v>
      </c>
      <c r="EE4">
        <v>1896324</v>
      </c>
      <c r="EF4">
        <v>107991</v>
      </c>
      <c r="EG4">
        <v>8774</v>
      </c>
      <c r="EH4">
        <v>13766</v>
      </c>
      <c r="EI4">
        <v>11724</v>
      </c>
      <c r="EJ4">
        <v>34263</v>
      </c>
      <c r="EK4">
        <v>874165</v>
      </c>
      <c r="EL4">
        <v>13558</v>
      </c>
      <c r="EM4">
        <v>19402</v>
      </c>
      <c r="EN4">
        <v>40767</v>
      </c>
      <c r="EO4">
        <v>96234</v>
      </c>
      <c r="EP4">
        <v>704205</v>
      </c>
      <c r="EQ4">
        <v>908428</v>
      </c>
      <c r="ER4">
        <v>222096</v>
      </c>
      <c r="ES4">
        <v>6431</v>
      </c>
      <c r="ET4">
        <v>314927</v>
      </c>
      <c r="EU4">
        <v>321359</v>
      </c>
      <c r="EV4">
        <v>1028402</v>
      </c>
      <c r="EW4">
        <v>911096</v>
      </c>
    </row>
    <row r="5" spans="1:153" ht="18" x14ac:dyDescent="0.2">
      <c r="A5" t="s">
        <v>66</v>
      </c>
      <c r="B5" t="s">
        <v>67</v>
      </c>
      <c r="C5" t="s">
        <v>204</v>
      </c>
      <c r="D5" t="s">
        <v>243</v>
      </c>
      <c r="E5" t="s">
        <v>244</v>
      </c>
      <c r="G5">
        <v>227</v>
      </c>
      <c r="I5" s="2">
        <v>227</v>
      </c>
      <c r="K5">
        <v>3984</v>
      </c>
      <c r="M5">
        <v>3966</v>
      </c>
      <c r="N5">
        <v>4211</v>
      </c>
      <c r="O5">
        <v>49</v>
      </c>
      <c r="P5">
        <v>1594</v>
      </c>
      <c r="Q5">
        <v>1643</v>
      </c>
      <c r="R5">
        <v>37</v>
      </c>
      <c r="S5">
        <v>278</v>
      </c>
      <c r="T5">
        <v>315</v>
      </c>
      <c r="U5">
        <v>13</v>
      </c>
      <c r="V5">
        <v>478</v>
      </c>
      <c r="W5">
        <v>491</v>
      </c>
      <c r="X5">
        <v>108</v>
      </c>
      <c r="Y5">
        <v>820</v>
      </c>
      <c r="Z5">
        <v>928</v>
      </c>
      <c r="AA5">
        <v>77</v>
      </c>
      <c r="AB5">
        <v>1470</v>
      </c>
      <c r="AC5">
        <v>1547</v>
      </c>
      <c r="AD5">
        <v>82</v>
      </c>
      <c r="AE5">
        <v>306</v>
      </c>
      <c r="AF5">
        <v>388</v>
      </c>
      <c r="AG5">
        <v>22</v>
      </c>
      <c r="AH5">
        <v>12303</v>
      </c>
      <c r="AI5">
        <v>12324</v>
      </c>
      <c r="AJ5">
        <v>81</v>
      </c>
      <c r="AK5">
        <v>2545</v>
      </c>
      <c r="AL5">
        <v>2626</v>
      </c>
      <c r="AM5">
        <v>178</v>
      </c>
      <c r="AN5">
        <v>1884</v>
      </c>
      <c r="AO5">
        <v>2062</v>
      </c>
      <c r="AP5">
        <v>128</v>
      </c>
      <c r="AQ5">
        <v>2026</v>
      </c>
      <c r="AR5">
        <v>2154</v>
      </c>
      <c r="AS5">
        <v>23</v>
      </c>
      <c r="AT5">
        <v>174</v>
      </c>
      <c r="AU5">
        <v>197</v>
      </c>
      <c r="AV5">
        <v>449</v>
      </c>
      <c r="AW5">
        <v>1352</v>
      </c>
      <c r="AX5">
        <v>1801</v>
      </c>
      <c r="AY5">
        <v>165</v>
      </c>
      <c r="AZ5">
        <v>2224</v>
      </c>
      <c r="BA5">
        <v>2389</v>
      </c>
      <c r="BB5">
        <v>92</v>
      </c>
      <c r="BC5">
        <v>5164</v>
      </c>
      <c r="BD5">
        <v>5256</v>
      </c>
      <c r="BE5">
        <v>48</v>
      </c>
      <c r="BF5">
        <v>1283</v>
      </c>
      <c r="BG5">
        <v>1330</v>
      </c>
      <c r="BH5">
        <v>39</v>
      </c>
      <c r="BI5">
        <v>376</v>
      </c>
      <c r="BJ5">
        <v>415</v>
      </c>
      <c r="BK5">
        <v>79</v>
      </c>
      <c r="BL5">
        <v>2224</v>
      </c>
      <c r="BM5">
        <v>2303</v>
      </c>
      <c r="BN5">
        <v>21</v>
      </c>
      <c r="BO5">
        <v>1407</v>
      </c>
      <c r="BP5">
        <v>1428</v>
      </c>
      <c r="BQ5">
        <v>11</v>
      </c>
      <c r="BR5">
        <v>1034</v>
      </c>
      <c r="BS5">
        <v>1045</v>
      </c>
      <c r="BT5">
        <v>36</v>
      </c>
      <c r="BU5">
        <v>4178</v>
      </c>
      <c r="BV5">
        <v>4214</v>
      </c>
      <c r="BW5">
        <v>68</v>
      </c>
      <c r="BX5">
        <v>4466</v>
      </c>
      <c r="BY5">
        <v>4534</v>
      </c>
      <c r="BZ5">
        <v>25</v>
      </c>
      <c r="CA5">
        <v>964</v>
      </c>
      <c r="CB5">
        <v>989</v>
      </c>
      <c r="CC5">
        <v>6</v>
      </c>
      <c r="CD5">
        <v>646</v>
      </c>
      <c r="CE5">
        <v>652</v>
      </c>
      <c r="CF5">
        <v>40</v>
      </c>
      <c r="CG5">
        <v>3243</v>
      </c>
      <c r="CH5">
        <v>3283</v>
      </c>
      <c r="CI5">
        <v>26</v>
      </c>
      <c r="CJ5">
        <v>1793</v>
      </c>
      <c r="CK5">
        <v>1819</v>
      </c>
      <c r="CL5">
        <v>3980</v>
      </c>
      <c r="CM5">
        <v>3461</v>
      </c>
      <c r="CN5">
        <v>3317</v>
      </c>
      <c r="CO5">
        <v>9015</v>
      </c>
      <c r="CP5">
        <v>6501</v>
      </c>
      <c r="CQ5">
        <v>399</v>
      </c>
      <c r="CR5">
        <v>3264</v>
      </c>
      <c r="CS5">
        <v>6001</v>
      </c>
      <c r="CT5">
        <v>22143</v>
      </c>
      <c r="CU5">
        <v>3093</v>
      </c>
      <c r="CV5">
        <v>3020</v>
      </c>
      <c r="CW5">
        <v>933</v>
      </c>
      <c r="CX5">
        <v>785</v>
      </c>
      <c r="CY5">
        <v>1655</v>
      </c>
      <c r="CZ5">
        <v>157</v>
      </c>
      <c r="DA5">
        <v>9966</v>
      </c>
      <c r="DB5">
        <v>10124</v>
      </c>
      <c r="DC5">
        <v>109</v>
      </c>
      <c r="DD5">
        <v>6845</v>
      </c>
      <c r="DE5">
        <v>6954</v>
      </c>
      <c r="DF5">
        <v>69</v>
      </c>
      <c r="DG5">
        <v>2545</v>
      </c>
      <c r="DH5">
        <v>2615</v>
      </c>
      <c r="DI5">
        <v>392</v>
      </c>
      <c r="DJ5">
        <v>483</v>
      </c>
      <c r="DK5">
        <v>457</v>
      </c>
      <c r="DL5">
        <v>1332</v>
      </c>
      <c r="DM5">
        <v>26561</v>
      </c>
      <c r="DN5">
        <v>533</v>
      </c>
      <c r="DO5">
        <v>904</v>
      </c>
      <c r="DP5">
        <v>1904</v>
      </c>
      <c r="DQ5">
        <v>4376</v>
      </c>
      <c r="DR5">
        <v>18845</v>
      </c>
      <c r="DS5">
        <v>27893</v>
      </c>
      <c r="DT5">
        <v>34900</v>
      </c>
      <c r="DU5">
        <v>603</v>
      </c>
      <c r="DV5">
        <v>825</v>
      </c>
      <c r="DW5">
        <v>747</v>
      </c>
      <c r="DX5">
        <v>2175</v>
      </c>
      <c r="DY5">
        <v>58824</v>
      </c>
      <c r="DZ5">
        <v>1008</v>
      </c>
      <c r="EA5">
        <v>1592</v>
      </c>
      <c r="EB5">
        <v>3300</v>
      </c>
      <c r="EC5">
        <v>7979</v>
      </c>
      <c r="ED5">
        <v>44945</v>
      </c>
      <c r="EE5">
        <v>60999</v>
      </c>
      <c r="EF5">
        <v>19867</v>
      </c>
      <c r="EG5">
        <v>211</v>
      </c>
      <c r="EH5">
        <v>342</v>
      </c>
      <c r="EI5">
        <v>290</v>
      </c>
      <c r="EJ5">
        <v>843</v>
      </c>
      <c r="EK5">
        <v>32263</v>
      </c>
      <c r="EL5">
        <v>475</v>
      </c>
      <c r="EM5">
        <v>688</v>
      </c>
      <c r="EN5">
        <v>1396</v>
      </c>
      <c r="EO5">
        <v>3604</v>
      </c>
      <c r="EP5">
        <v>26100</v>
      </c>
      <c r="EQ5">
        <v>33106</v>
      </c>
      <c r="ER5">
        <v>6393</v>
      </c>
      <c r="ES5">
        <v>139</v>
      </c>
      <c r="ET5">
        <v>6867</v>
      </c>
      <c r="EU5">
        <v>7006</v>
      </c>
      <c r="EV5">
        <v>18834</v>
      </c>
      <c r="EW5">
        <v>7441</v>
      </c>
    </row>
    <row r="6" spans="1:153" ht="18" x14ac:dyDescent="0.2">
      <c r="A6" t="s">
        <v>68</v>
      </c>
      <c r="B6" t="s">
        <v>69</v>
      </c>
      <c r="C6" t="s">
        <v>204</v>
      </c>
      <c r="D6" t="s">
        <v>243</v>
      </c>
      <c r="E6" t="s">
        <v>244</v>
      </c>
      <c r="G6">
        <v>10415</v>
      </c>
      <c r="I6" s="2">
        <v>10390</v>
      </c>
      <c r="K6">
        <v>141003</v>
      </c>
      <c r="M6">
        <v>139443</v>
      </c>
      <c r="N6">
        <v>151418</v>
      </c>
      <c r="O6">
        <v>981</v>
      </c>
      <c r="P6">
        <v>40521</v>
      </c>
      <c r="Q6">
        <v>41502</v>
      </c>
      <c r="R6">
        <v>851</v>
      </c>
      <c r="S6">
        <v>5866</v>
      </c>
      <c r="T6">
        <v>6717</v>
      </c>
      <c r="U6">
        <v>1025</v>
      </c>
      <c r="V6">
        <v>19360</v>
      </c>
      <c r="W6">
        <v>20384</v>
      </c>
      <c r="X6">
        <v>3504</v>
      </c>
      <c r="Y6">
        <v>18513</v>
      </c>
      <c r="Z6">
        <v>22017</v>
      </c>
      <c r="AA6">
        <v>2764</v>
      </c>
      <c r="AB6">
        <v>23997</v>
      </c>
      <c r="AC6">
        <v>26760</v>
      </c>
      <c r="AD6">
        <v>2380</v>
      </c>
      <c r="AE6">
        <v>6223</v>
      </c>
      <c r="AF6">
        <v>8603</v>
      </c>
      <c r="AG6">
        <v>512</v>
      </c>
      <c r="AH6">
        <v>243396</v>
      </c>
      <c r="AI6">
        <v>243908</v>
      </c>
      <c r="AJ6">
        <v>2813</v>
      </c>
      <c r="AK6">
        <v>53420</v>
      </c>
      <c r="AL6">
        <v>56234</v>
      </c>
      <c r="AM6">
        <v>5088</v>
      </c>
      <c r="AN6">
        <v>41914</v>
      </c>
      <c r="AO6">
        <v>47002</v>
      </c>
      <c r="AP6">
        <v>2834</v>
      </c>
      <c r="AQ6">
        <v>27299</v>
      </c>
      <c r="AR6">
        <v>30133</v>
      </c>
      <c r="AS6">
        <v>619</v>
      </c>
      <c r="AT6">
        <v>4502</v>
      </c>
      <c r="AU6">
        <v>5121</v>
      </c>
      <c r="AV6">
        <v>15597</v>
      </c>
      <c r="AW6">
        <v>36679</v>
      </c>
      <c r="AX6">
        <v>52275</v>
      </c>
      <c r="AY6">
        <v>8432</v>
      </c>
      <c r="AZ6">
        <v>89622</v>
      </c>
      <c r="BA6">
        <v>98054</v>
      </c>
      <c r="BB6">
        <v>3671</v>
      </c>
      <c r="BC6">
        <v>89453</v>
      </c>
      <c r="BD6">
        <v>93123</v>
      </c>
      <c r="BE6">
        <v>2679</v>
      </c>
      <c r="BF6">
        <v>37321</v>
      </c>
      <c r="BG6">
        <v>40001</v>
      </c>
      <c r="BH6">
        <v>2602</v>
      </c>
      <c r="BI6">
        <v>14490</v>
      </c>
      <c r="BJ6">
        <v>17092</v>
      </c>
      <c r="BK6">
        <v>3512</v>
      </c>
      <c r="BL6">
        <v>57157</v>
      </c>
      <c r="BM6">
        <v>60669</v>
      </c>
      <c r="BN6">
        <v>775</v>
      </c>
      <c r="BO6">
        <v>33810</v>
      </c>
      <c r="BP6">
        <v>34585</v>
      </c>
      <c r="BQ6">
        <v>369</v>
      </c>
      <c r="BR6">
        <v>55994</v>
      </c>
      <c r="BS6">
        <v>56364</v>
      </c>
      <c r="BT6">
        <v>1318</v>
      </c>
      <c r="BU6">
        <v>58113</v>
      </c>
      <c r="BV6">
        <v>59430</v>
      </c>
      <c r="BW6">
        <v>3166</v>
      </c>
      <c r="BX6">
        <v>200420</v>
      </c>
      <c r="BY6">
        <v>203586</v>
      </c>
      <c r="BZ6">
        <v>1110</v>
      </c>
      <c r="CA6">
        <v>25168</v>
      </c>
      <c r="CB6">
        <v>26278</v>
      </c>
      <c r="CC6">
        <v>492</v>
      </c>
      <c r="CD6">
        <v>28871</v>
      </c>
      <c r="CE6">
        <v>29364</v>
      </c>
      <c r="CF6">
        <v>1153</v>
      </c>
      <c r="CG6">
        <v>133238</v>
      </c>
      <c r="CH6">
        <v>134391</v>
      </c>
      <c r="CI6">
        <v>1145</v>
      </c>
      <c r="CJ6">
        <v>77741</v>
      </c>
      <c r="CK6">
        <v>78886</v>
      </c>
      <c r="CL6">
        <v>349404</v>
      </c>
      <c r="CM6">
        <v>528812</v>
      </c>
      <c r="CN6">
        <v>147311</v>
      </c>
      <c r="CO6">
        <v>384883</v>
      </c>
      <c r="CP6">
        <v>426710</v>
      </c>
      <c r="CQ6">
        <v>7209</v>
      </c>
      <c r="CR6">
        <v>98123</v>
      </c>
      <c r="CS6">
        <v>58447</v>
      </c>
      <c r="CT6">
        <v>103588</v>
      </c>
      <c r="CU6">
        <v>68906</v>
      </c>
      <c r="CV6">
        <v>96262</v>
      </c>
      <c r="CW6">
        <v>34066</v>
      </c>
      <c r="CX6">
        <v>27592</v>
      </c>
      <c r="CY6">
        <v>52081</v>
      </c>
      <c r="CZ6">
        <v>5284</v>
      </c>
      <c r="DA6">
        <v>244771</v>
      </c>
      <c r="DB6">
        <v>250055</v>
      </c>
      <c r="DC6">
        <v>4533</v>
      </c>
      <c r="DD6">
        <v>174318</v>
      </c>
      <c r="DE6">
        <v>178851</v>
      </c>
      <c r="DF6">
        <v>2504</v>
      </c>
      <c r="DG6">
        <v>63480</v>
      </c>
      <c r="DH6">
        <v>65984</v>
      </c>
      <c r="DI6">
        <v>16965</v>
      </c>
      <c r="DJ6">
        <v>19028</v>
      </c>
      <c r="DK6">
        <v>16136</v>
      </c>
      <c r="DL6">
        <v>52129</v>
      </c>
      <c r="DM6">
        <v>817876</v>
      </c>
      <c r="DN6">
        <v>16484</v>
      </c>
      <c r="DO6">
        <v>26224</v>
      </c>
      <c r="DP6">
        <v>42283</v>
      </c>
      <c r="DQ6">
        <v>123933</v>
      </c>
      <c r="DR6">
        <v>608951</v>
      </c>
      <c r="DS6">
        <v>870005</v>
      </c>
      <c r="DT6">
        <v>336273</v>
      </c>
      <c r="DU6">
        <v>24943</v>
      </c>
      <c r="DV6">
        <v>30190</v>
      </c>
      <c r="DW6">
        <v>26295</v>
      </c>
      <c r="DX6">
        <v>81428</v>
      </c>
      <c r="DY6">
        <v>1584927</v>
      </c>
      <c r="DZ6">
        <v>28562</v>
      </c>
      <c r="EA6">
        <v>44177</v>
      </c>
      <c r="EB6">
        <v>78544</v>
      </c>
      <c r="EC6">
        <v>209191</v>
      </c>
      <c r="ED6">
        <v>1224453</v>
      </c>
      <c r="EE6">
        <v>1666355</v>
      </c>
      <c r="EF6">
        <v>62645</v>
      </c>
      <c r="EG6">
        <v>7978</v>
      </c>
      <c r="EH6">
        <v>11162</v>
      </c>
      <c r="EI6">
        <v>10159</v>
      </c>
      <c r="EJ6">
        <v>29299</v>
      </c>
      <c r="EK6">
        <v>767051</v>
      </c>
      <c r="EL6">
        <v>12078</v>
      </c>
      <c r="EM6">
        <v>17953</v>
      </c>
      <c r="EN6">
        <v>36261</v>
      </c>
      <c r="EO6">
        <v>85258</v>
      </c>
      <c r="EP6">
        <v>615502</v>
      </c>
      <c r="EQ6">
        <v>796350</v>
      </c>
      <c r="ER6">
        <v>210000</v>
      </c>
      <c r="ES6">
        <v>5932</v>
      </c>
      <c r="ET6">
        <v>298998</v>
      </c>
      <c r="EU6">
        <v>304929</v>
      </c>
      <c r="EV6">
        <v>958904</v>
      </c>
      <c r="EW6">
        <v>878216</v>
      </c>
    </row>
    <row r="7" spans="1:153" ht="18" x14ac:dyDescent="0.2">
      <c r="A7" t="s">
        <v>70</v>
      </c>
      <c r="B7" t="s">
        <v>71</v>
      </c>
      <c r="C7" t="s">
        <v>204</v>
      </c>
      <c r="D7" t="s">
        <v>242</v>
      </c>
      <c r="E7" t="s">
        <v>245</v>
      </c>
      <c r="F7">
        <f>G4-G5-G6</f>
        <v>2123</v>
      </c>
      <c r="G7">
        <v>2122</v>
      </c>
      <c r="H7">
        <f>I4-I5-I6</f>
        <v>1498</v>
      </c>
      <c r="I7" s="2">
        <v>1498</v>
      </c>
      <c r="J7">
        <f>K4-K5-K6</f>
        <v>10392</v>
      </c>
      <c r="K7">
        <v>10392</v>
      </c>
      <c r="L7">
        <f>M4-M5-M6</f>
        <v>10696</v>
      </c>
      <c r="M7">
        <v>10695</v>
      </c>
      <c r="N7">
        <v>12514</v>
      </c>
      <c r="O7">
        <v>340</v>
      </c>
      <c r="P7">
        <v>12238</v>
      </c>
      <c r="Q7">
        <v>12578</v>
      </c>
      <c r="R7">
        <v>29</v>
      </c>
      <c r="S7">
        <v>113</v>
      </c>
      <c r="T7">
        <v>142</v>
      </c>
      <c r="U7">
        <v>-6</v>
      </c>
      <c r="V7">
        <v>1694</v>
      </c>
      <c r="W7">
        <v>1689</v>
      </c>
      <c r="X7">
        <v>194</v>
      </c>
      <c r="Y7">
        <v>1862</v>
      </c>
      <c r="Z7">
        <v>2056</v>
      </c>
      <c r="AA7">
        <v>304</v>
      </c>
      <c r="AB7">
        <v>2022</v>
      </c>
      <c r="AC7">
        <v>2326</v>
      </c>
      <c r="AD7">
        <v>175</v>
      </c>
      <c r="AE7">
        <v>315</v>
      </c>
      <c r="AF7">
        <v>490</v>
      </c>
      <c r="AG7">
        <v>51</v>
      </c>
      <c r="AH7">
        <v>5734</v>
      </c>
      <c r="AI7">
        <v>5784</v>
      </c>
      <c r="AJ7">
        <v>458</v>
      </c>
      <c r="AK7">
        <v>7485</v>
      </c>
      <c r="AL7">
        <v>7942</v>
      </c>
      <c r="AM7">
        <v>378</v>
      </c>
      <c r="AN7">
        <v>2801</v>
      </c>
      <c r="AO7">
        <v>3179</v>
      </c>
      <c r="AP7">
        <v>176</v>
      </c>
      <c r="AQ7">
        <v>3096</v>
      </c>
      <c r="AR7">
        <v>3272</v>
      </c>
      <c r="AS7">
        <v>76</v>
      </c>
      <c r="AT7">
        <v>695</v>
      </c>
      <c r="AU7">
        <v>771</v>
      </c>
      <c r="AV7">
        <v>2273</v>
      </c>
      <c r="AW7">
        <v>6577</v>
      </c>
      <c r="AX7">
        <v>8850</v>
      </c>
      <c r="AY7">
        <v>936</v>
      </c>
      <c r="AZ7">
        <v>11589</v>
      </c>
      <c r="BA7">
        <v>12525</v>
      </c>
      <c r="BB7">
        <v>28</v>
      </c>
      <c r="BC7">
        <v>14069</v>
      </c>
      <c r="BD7">
        <v>14097</v>
      </c>
      <c r="BE7">
        <v>353</v>
      </c>
      <c r="BF7">
        <v>5958</v>
      </c>
      <c r="BG7">
        <v>6310</v>
      </c>
      <c r="BH7">
        <v>182</v>
      </c>
      <c r="BI7">
        <v>578</v>
      </c>
      <c r="BJ7">
        <v>760</v>
      </c>
      <c r="BK7">
        <v>47</v>
      </c>
      <c r="BL7">
        <v>7068</v>
      </c>
      <c r="BM7">
        <v>7115</v>
      </c>
      <c r="BN7">
        <v>68</v>
      </c>
      <c r="BO7">
        <v>893</v>
      </c>
      <c r="BP7">
        <v>961</v>
      </c>
      <c r="BQ7">
        <v>130</v>
      </c>
      <c r="BR7">
        <v>16969</v>
      </c>
      <c r="BS7">
        <v>17100</v>
      </c>
      <c r="BT7">
        <v>270</v>
      </c>
      <c r="BU7">
        <v>4718</v>
      </c>
      <c r="BV7">
        <v>4988</v>
      </c>
      <c r="BW7">
        <v>359</v>
      </c>
      <c r="BX7">
        <v>787</v>
      </c>
      <c r="BY7">
        <v>1146</v>
      </c>
      <c r="BZ7">
        <v>81</v>
      </c>
      <c r="CA7">
        <v>1616</v>
      </c>
      <c r="CB7">
        <v>1697</v>
      </c>
      <c r="CC7">
        <v>158</v>
      </c>
      <c r="CD7">
        <v>4901</v>
      </c>
      <c r="CE7">
        <v>5059</v>
      </c>
      <c r="CF7">
        <v>0</v>
      </c>
      <c r="CG7">
        <v>27339</v>
      </c>
      <c r="CH7">
        <v>27339</v>
      </c>
      <c r="CI7">
        <v>86</v>
      </c>
      <c r="CJ7">
        <v>6696</v>
      </c>
      <c r="CK7">
        <v>6782</v>
      </c>
      <c r="CL7">
        <v>13977</v>
      </c>
      <c r="CM7">
        <v>11462</v>
      </c>
      <c r="CN7">
        <v>4355</v>
      </c>
      <c r="CO7">
        <v>21971</v>
      </c>
      <c r="CP7">
        <v>24338</v>
      </c>
      <c r="CQ7">
        <v>204</v>
      </c>
      <c r="CR7">
        <v>20098</v>
      </c>
      <c r="CS7">
        <v>9119</v>
      </c>
      <c r="CT7">
        <v>29534</v>
      </c>
      <c r="CU7">
        <v>14833</v>
      </c>
      <c r="CV7">
        <v>5833</v>
      </c>
      <c r="CW7">
        <v>2549</v>
      </c>
      <c r="CX7">
        <v>-9395</v>
      </c>
      <c r="CY7">
        <v>6716</v>
      </c>
      <c r="CZ7">
        <v>728</v>
      </c>
      <c r="DA7">
        <v>39542</v>
      </c>
      <c r="DB7">
        <v>40270</v>
      </c>
      <c r="DC7">
        <v>316</v>
      </c>
      <c r="DD7">
        <v>35940</v>
      </c>
      <c r="DE7">
        <v>36256</v>
      </c>
      <c r="DF7">
        <v>226</v>
      </c>
      <c r="DG7">
        <v>3204</v>
      </c>
      <c r="DH7">
        <v>3430</v>
      </c>
      <c r="DI7">
        <v>2423</v>
      </c>
      <c r="DJ7">
        <v>1365</v>
      </c>
      <c r="DK7">
        <v>1275</v>
      </c>
      <c r="DL7">
        <v>5064</v>
      </c>
      <c r="DM7">
        <v>84933</v>
      </c>
      <c r="DN7">
        <v>825</v>
      </c>
      <c r="DO7">
        <v>2414</v>
      </c>
      <c r="DP7">
        <v>2084</v>
      </c>
      <c r="DQ7">
        <v>11953</v>
      </c>
      <c r="DR7">
        <v>67658</v>
      </c>
      <c r="DS7">
        <v>89997</v>
      </c>
      <c r="DT7">
        <v>73788</v>
      </c>
      <c r="DU7">
        <v>3008</v>
      </c>
      <c r="DV7">
        <v>3627</v>
      </c>
      <c r="DW7">
        <v>2550</v>
      </c>
      <c r="DX7">
        <v>9185</v>
      </c>
      <c r="DY7">
        <v>159784</v>
      </c>
      <c r="DZ7">
        <v>1829</v>
      </c>
      <c r="EA7">
        <v>3175</v>
      </c>
      <c r="EB7">
        <v>5194</v>
      </c>
      <c r="EC7">
        <v>19325</v>
      </c>
      <c r="ED7">
        <v>130261</v>
      </c>
      <c r="EE7">
        <v>168970</v>
      </c>
      <c r="EF7">
        <v>25480</v>
      </c>
      <c r="EG7">
        <v>585</v>
      </c>
      <c r="EH7">
        <v>2262</v>
      </c>
      <c r="EI7">
        <v>1275</v>
      </c>
      <c r="EJ7">
        <v>4121</v>
      </c>
      <c r="EK7">
        <v>74851</v>
      </c>
      <c r="EL7">
        <v>1005</v>
      </c>
      <c r="EM7">
        <v>761</v>
      </c>
      <c r="EN7">
        <v>3111</v>
      </c>
      <c r="EO7">
        <v>7372</v>
      </c>
      <c r="EP7">
        <v>62603</v>
      </c>
      <c r="EQ7">
        <v>78972</v>
      </c>
      <c r="ER7">
        <v>5703</v>
      </c>
      <c r="ES7">
        <v>361</v>
      </c>
      <c r="ET7">
        <v>9063</v>
      </c>
      <c r="EU7">
        <v>9424</v>
      </c>
      <c r="EV7">
        <v>50664</v>
      </c>
      <c r="EW7">
        <v>25440</v>
      </c>
    </row>
    <row r="8" spans="1:153" ht="18" x14ac:dyDescent="0.2">
      <c r="A8" t="s">
        <v>72</v>
      </c>
      <c r="B8" t="s">
        <v>73</v>
      </c>
      <c r="C8" t="s">
        <v>204</v>
      </c>
      <c r="D8" t="s">
        <v>242</v>
      </c>
      <c r="E8" t="s">
        <v>244</v>
      </c>
      <c r="G8">
        <v>72</v>
      </c>
      <c r="I8" s="2">
        <v>109</v>
      </c>
      <c r="K8">
        <v>3657</v>
      </c>
      <c r="M8">
        <v>3537</v>
      </c>
      <c r="N8">
        <v>3729</v>
      </c>
      <c r="O8">
        <v>19</v>
      </c>
      <c r="P8">
        <v>1961</v>
      </c>
      <c r="Q8">
        <v>1980</v>
      </c>
      <c r="R8">
        <v>13</v>
      </c>
      <c r="S8">
        <v>143</v>
      </c>
      <c r="T8">
        <v>156</v>
      </c>
      <c r="U8">
        <v>13</v>
      </c>
      <c r="V8">
        <v>758</v>
      </c>
      <c r="W8">
        <v>772</v>
      </c>
      <c r="X8">
        <v>15</v>
      </c>
      <c r="Y8">
        <v>596</v>
      </c>
      <c r="Z8">
        <v>612</v>
      </c>
      <c r="AA8">
        <v>21</v>
      </c>
      <c r="AB8">
        <v>825</v>
      </c>
      <c r="AC8">
        <v>846</v>
      </c>
      <c r="AD8">
        <v>16</v>
      </c>
      <c r="AE8">
        <v>458</v>
      </c>
      <c r="AF8">
        <v>474</v>
      </c>
      <c r="AG8">
        <v>4</v>
      </c>
      <c r="AH8">
        <v>3514</v>
      </c>
      <c r="AI8">
        <v>3518</v>
      </c>
      <c r="AJ8">
        <v>39</v>
      </c>
      <c r="AK8">
        <v>2237</v>
      </c>
      <c r="AL8">
        <v>2277</v>
      </c>
      <c r="AM8">
        <v>54</v>
      </c>
      <c r="AN8">
        <v>1544</v>
      </c>
      <c r="AO8">
        <v>1598</v>
      </c>
      <c r="AP8">
        <v>28</v>
      </c>
      <c r="AQ8">
        <v>999</v>
      </c>
      <c r="AR8">
        <v>1026</v>
      </c>
      <c r="AS8">
        <v>8</v>
      </c>
      <c r="AT8">
        <v>43</v>
      </c>
      <c r="AU8">
        <v>51</v>
      </c>
      <c r="AV8">
        <v>117</v>
      </c>
      <c r="AW8">
        <v>1500</v>
      </c>
      <c r="AX8">
        <v>1617</v>
      </c>
      <c r="AY8">
        <v>75</v>
      </c>
      <c r="AZ8">
        <v>2276</v>
      </c>
      <c r="BA8">
        <v>2351</v>
      </c>
      <c r="BB8">
        <v>75</v>
      </c>
      <c r="BC8">
        <v>3492</v>
      </c>
      <c r="BD8">
        <v>3567</v>
      </c>
      <c r="BE8">
        <v>27</v>
      </c>
      <c r="BF8">
        <v>1160</v>
      </c>
      <c r="BG8">
        <v>1187</v>
      </c>
      <c r="BH8">
        <v>20</v>
      </c>
      <c r="BI8">
        <v>403</v>
      </c>
      <c r="BJ8">
        <v>423</v>
      </c>
      <c r="BK8">
        <v>48</v>
      </c>
      <c r="BL8">
        <v>2151</v>
      </c>
      <c r="BM8">
        <v>2198</v>
      </c>
      <c r="BN8">
        <v>7</v>
      </c>
      <c r="BO8">
        <v>582</v>
      </c>
      <c r="BP8">
        <v>589</v>
      </c>
      <c r="BQ8">
        <v>4</v>
      </c>
      <c r="BR8">
        <v>1793</v>
      </c>
      <c r="BS8">
        <v>1797</v>
      </c>
      <c r="BT8">
        <v>16</v>
      </c>
      <c r="BU8">
        <v>3387</v>
      </c>
      <c r="BV8">
        <v>3403</v>
      </c>
      <c r="BW8">
        <v>30</v>
      </c>
      <c r="BX8">
        <v>2501</v>
      </c>
      <c r="BY8">
        <v>2530</v>
      </c>
      <c r="BZ8">
        <v>10</v>
      </c>
      <c r="CA8">
        <v>432</v>
      </c>
      <c r="CB8">
        <v>442</v>
      </c>
      <c r="CC8">
        <v>3</v>
      </c>
      <c r="CD8">
        <v>1323</v>
      </c>
      <c r="CE8">
        <v>1326</v>
      </c>
      <c r="CF8">
        <v>60</v>
      </c>
      <c r="CG8">
        <v>7562</v>
      </c>
      <c r="CH8">
        <v>7622</v>
      </c>
      <c r="CI8">
        <v>16</v>
      </c>
      <c r="CJ8">
        <v>2837</v>
      </c>
      <c r="CK8">
        <v>2852</v>
      </c>
      <c r="CL8">
        <v>3194</v>
      </c>
      <c r="CM8">
        <v>3353</v>
      </c>
      <c r="CN8">
        <v>644</v>
      </c>
      <c r="CO8">
        <v>2486</v>
      </c>
      <c r="CP8">
        <v>5149</v>
      </c>
      <c r="CQ8">
        <v>594</v>
      </c>
      <c r="CR8">
        <v>4189</v>
      </c>
      <c r="CS8">
        <v>2740</v>
      </c>
      <c r="CT8">
        <v>9024</v>
      </c>
      <c r="CU8">
        <v>1820</v>
      </c>
      <c r="CV8">
        <v>5499</v>
      </c>
      <c r="CW8">
        <v>944</v>
      </c>
      <c r="CX8">
        <v>1098</v>
      </c>
      <c r="CY8">
        <v>2549</v>
      </c>
      <c r="CZ8">
        <v>115</v>
      </c>
      <c r="DA8">
        <v>13186</v>
      </c>
      <c r="DB8">
        <v>13301</v>
      </c>
      <c r="DC8">
        <v>81</v>
      </c>
      <c r="DD8">
        <v>6608</v>
      </c>
      <c r="DE8">
        <v>6690</v>
      </c>
      <c r="DF8">
        <v>25</v>
      </c>
      <c r="DG8">
        <v>1057</v>
      </c>
      <c r="DH8">
        <v>1082</v>
      </c>
      <c r="DI8">
        <v>110</v>
      </c>
      <c r="DJ8">
        <v>205</v>
      </c>
      <c r="DK8">
        <v>178</v>
      </c>
      <c r="DL8">
        <v>494</v>
      </c>
      <c r="DM8">
        <v>22511</v>
      </c>
      <c r="DN8">
        <v>168</v>
      </c>
      <c r="DO8">
        <v>488</v>
      </c>
      <c r="DP8">
        <v>1544</v>
      </c>
      <c r="DQ8">
        <v>3856</v>
      </c>
      <c r="DR8">
        <v>16455</v>
      </c>
      <c r="DS8">
        <v>23004</v>
      </c>
      <c r="DT8">
        <v>18367</v>
      </c>
      <c r="DU8">
        <v>166</v>
      </c>
      <c r="DV8">
        <v>333</v>
      </c>
      <c r="DW8">
        <v>322</v>
      </c>
      <c r="DX8">
        <v>821</v>
      </c>
      <c r="DY8">
        <v>48557</v>
      </c>
      <c r="DZ8">
        <v>364</v>
      </c>
      <c r="EA8">
        <v>819</v>
      </c>
      <c r="EB8">
        <v>2611</v>
      </c>
      <c r="EC8">
        <v>6825</v>
      </c>
      <c r="ED8">
        <v>37938</v>
      </c>
      <c r="EE8">
        <v>49378</v>
      </c>
      <c r="EF8">
        <v>4152</v>
      </c>
      <c r="EG8">
        <v>56</v>
      </c>
      <c r="EH8">
        <v>128</v>
      </c>
      <c r="EI8">
        <v>144</v>
      </c>
      <c r="EJ8">
        <v>328</v>
      </c>
      <c r="EK8">
        <v>26047</v>
      </c>
      <c r="EL8">
        <v>197</v>
      </c>
      <c r="EM8">
        <v>331</v>
      </c>
      <c r="EN8">
        <v>1067</v>
      </c>
      <c r="EO8">
        <v>2970</v>
      </c>
      <c r="EP8">
        <v>21483</v>
      </c>
      <c r="EQ8">
        <v>26374</v>
      </c>
      <c r="ER8">
        <v>10089</v>
      </c>
      <c r="ES8">
        <v>58</v>
      </c>
      <c r="ET8">
        <v>5761</v>
      </c>
      <c r="EU8">
        <v>5818</v>
      </c>
      <c r="EV8">
        <v>8278</v>
      </c>
      <c r="EW8">
        <v>6547</v>
      </c>
    </row>
    <row r="9" spans="1:153" ht="18" x14ac:dyDescent="0.2">
      <c r="A9" t="s">
        <v>74</v>
      </c>
      <c r="B9" t="s">
        <v>75</v>
      </c>
      <c r="C9" t="s">
        <v>204</v>
      </c>
      <c r="D9" t="s">
        <v>242</v>
      </c>
      <c r="E9" t="s">
        <v>245</v>
      </c>
      <c r="G9">
        <v>0</v>
      </c>
      <c r="I9" s="2">
        <v>0</v>
      </c>
      <c r="K9">
        <v>108</v>
      </c>
      <c r="M9">
        <v>182</v>
      </c>
      <c r="N9">
        <v>0</v>
      </c>
      <c r="O9">
        <v>0</v>
      </c>
      <c r="P9">
        <v>22</v>
      </c>
      <c r="Q9">
        <v>0</v>
      </c>
      <c r="R9">
        <v>0</v>
      </c>
      <c r="S9">
        <v>6</v>
      </c>
      <c r="T9">
        <v>0</v>
      </c>
      <c r="U9">
        <v>0</v>
      </c>
      <c r="V9">
        <v>65</v>
      </c>
      <c r="W9">
        <v>0</v>
      </c>
      <c r="X9">
        <v>0</v>
      </c>
      <c r="Y9">
        <v>11</v>
      </c>
      <c r="Z9">
        <v>0</v>
      </c>
      <c r="AA9">
        <v>0</v>
      </c>
      <c r="AB9">
        <v>172</v>
      </c>
      <c r="AC9">
        <v>0</v>
      </c>
      <c r="AD9">
        <v>0</v>
      </c>
      <c r="AE9">
        <v>2</v>
      </c>
      <c r="AF9">
        <v>0</v>
      </c>
      <c r="AG9">
        <v>0</v>
      </c>
      <c r="AH9">
        <v>405</v>
      </c>
      <c r="AI9">
        <v>0</v>
      </c>
      <c r="AJ9">
        <v>0</v>
      </c>
      <c r="AK9">
        <v>584</v>
      </c>
      <c r="AL9">
        <v>0</v>
      </c>
      <c r="AM9">
        <v>0</v>
      </c>
      <c r="AN9">
        <v>43</v>
      </c>
      <c r="AO9">
        <v>0</v>
      </c>
      <c r="AP9">
        <v>0</v>
      </c>
      <c r="AQ9">
        <v>21</v>
      </c>
      <c r="AR9">
        <v>0</v>
      </c>
      <c r="AS9">
        <v>0</v>
      </c>
      <c r="AT9">
        <v>6</v>
      </c>
      <c r="AU9">
        <v>0</v>
      </c>
      <c r="AV9">
        <v>0</v>
      </c>
      <c r="AW9">
        <v>51</v>
      </c>
      <c r="AX9">
        <v>0</v>
      </c>
      <c r="AY9">
        <v>0</v>
      </c>
      <c r="AZ9">
        <v>412</v>
      </c>
      <c r="BA9">
        <v>0</v>
      </c>
      <c r="BB9">
        <v>0</v>
      </c>
      <c r="BC9">
        <v>324</v>
      </c>
      <c r="BD9">
        <v>0</v>
      </c>
      <c r="BE9">
        <v>0</v>
      </c>
      <c r="BF9">
        <v>28</v>
      </c>
      <c r="BG9">
        <v>0</v>
      </c>
      <c r="BH9">
        <v>0</v>
      </c>
      <c r="BI9">
        <v>5</v>
      </c>
      <c r="BJ9">
        <v>0</v>
      </c>
      <c r="BK9">
        <v>0</v>
      </c>
      <c r="BL9">
        <v>9</v>
      </c>
      <c r="BM9">
        <v>0</v>
      </c>
      <c r="BN9">
        <v>0</v>
      </c>
      <c r="BO9">
        <v>2</v>
      </c>
      <c r="BP9">
        <v>0</v>
      </c>
      <c r="BQ9">
        <v>0</v>
      </c>
      <c r="BR9">
        <v>175</v>
      </c>
      <c r="BS9">
        <v>0</v>
      </c>
      <c r="BT9">
        <v>0</v>
      </c>
      <c r="BU9">
        <v>305</v>
      </c>
      <c r="BV9">
        <v>0</v>
      </c>
      <c r="BW9">
        <v>0</v>
      </c>
      <c r="BX9">
        <v>26</v>
      </c>
      <c r="BY9">
        <v>0</v>
      </c>
      <c r="BZ9">
        <v>0</v>
      </c>
      <c r="CA9">
        <v>691</v>
      </c>
      <c r="CB9">
        <v>0</v>
      </c>
      <c r="CC9">
        <v>0</v>
      </c>
      <c r="CD9">
        <v>0</v>
      </c>
      <c r="CE9">
        <v>0</v>
      </c>
      <c r="CF9">
        <v>0</v>
      </c>
      <c r="CG9">
        <v>655</v>
      </c>
      <c r="CH9">
        <v>0</v>
      </c>
      <c r="CI9">
        <v>0</v>
      </c>
      <c r="CJ9">
        <v>49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1544</v>
      </c>
      <c r="DB9">
        <v>0</v>
      </c>
      <c r="DC9">
        <v>0</v>
      </c>
      <c r="DD9">
        <v>499</v>
      </c>
      <c r="DE9">
        <v>0</v>
      </c>
      <c r="DF9">
        <v>0</v>
      </c>
      <c r="DG9">
        <v>699</v>
      </c>
      <c r="DH9">
        <v>0</v>
      </c>
      <c r="DI9">
        <v>0</v>
      </c>
      <c r="DJ9">
        <v>0</v>
      </c>
      <c r="DK9">
        <v>0</v>
      </c>
      <c r="DL9">
        <v>0</v>
      </c>
      <c r="DM9">
        <v>1811</v>
      </c>
      <c r="DN9">
        <v>10</v>
      </c>
      <c r="DO9">
        <v>51</v>
      </c>
      <c r="DP9">
        <v>75</v>
      </c>
      <c r="DQ9">
        <v>178</v>
      </c>
      <c r="DR9">
        <v>1497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4177</v>
      </c>
      <c r="DZ9">
        <v>43</v>
      </c>
      <c r="EA9">
        <v>88</v>
      </c>
      <c r="EB9">
        <v>107</v>
      </c>
      <c r="EC9">
        <v>431</v>
      </c>
      <c r="ED9">
        <v>3507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2366</v>
      </c>
      <c r="EL9">
        <v>34</v>
      </c>
      <c r="EM9">
        <v>37</v>
      </c>
      <c r="EN9">
        <v>32</v>
      </c>
      <c r="EO9">
        <v>253</v>
      </c>
      <c r="EP9">
        <v>2011</v>
      </c>
      <c r="EQ9">
        <v>0</v>
      </c>
      <c r="ER9">
        <v>0</v>
      </c>
      <c r="ES9">
        <v>0</v>
      </c>
      <c r="ET9">
        <v>77</v>
      </c>
      <c r="EU9">
        <v>0</v>
      </c>
      <c r="EV9">
        <v>0</v>
      </c>
      <c r="EW9">
        <v>0</v>
      </c>
    </row>
    <row r="10" spans="1:153" ht="18" x14ac:dyDescent="0.2">
      <c r="A10" t="s">
        <v>76</v>
      </c>
      <c r="B10" t="s">
        <v>77</v>
      </c>
      <c r="C10" t="s">
        <v>204</v>
      </c>
      <c r="D10" t="s">
        <v>242</v>
      </c>
      <c r="E10" t="s">
        <v>245</v>
      </c>
      <c r="G10">
        <v>67</v>
      </c>
      <c r="I10" s="2">
        <v>677</v>
      </c>
      <c r="K10">
        <v>1</v>
      </c>
      <c r="M10">
        <v>-438</v>
      </c>
      <c r="N10">
        <v>842</v>
      </c>
      <c r="O10">
        <v>17</v>
      </c>
      <c r="P10">
        <v>538</v>
      </c>
      <c r="Q10">
        <v>3800</v>
      </c>
      <c r="R10">
        <v>31</v>
      </c>
      <c r="S10">
        <v>-17</v>
      </c>
      <c r="T10">
        <v>151</v>
      </c>
      <c r="U10">
        <v>-23</v>
      </c>
      <c r="V10">
        <v>105</v>
      </c>
      <c r="W10">
        <v>1696</v>
      </c>
      <c r="X10">
        <v>37</v>
      </c>
      <c r="Y10">
        <v>99</v>
      </c>
      <c r="Z10">
        <v>44</v>
      </c>
      <c r="AA10">
        <v>17</v>
      </c>
      <c r="AB10">
        <v>190</v>
      </c>
      <c r="AC10">
        <v>432</v>
      </c>
      <c r="AD10">
        <v>19</v>
      </c>
      <c r="AE10">
        <v>39</v>
      </c>
      <c r="AF10">
        <v>-33</v>
      </c>
      <c r="AG10">
        <v>-1</v>
      </c>
      <c r="AH10">
        <v>1456</v>
      </c>
      <c r="AI10">
        <v>12690</v>
      </c>
      <c r="AJ10">
        <v>19</v>
      </c>
      <c r="AK10">
        <v>925</v>
      </c>
      <c r="AL10">
        <v>5786</v>
      </c>
      <c r="AM10">
        <v>35</v>
      </c>
      <c r="AN10">
        <v>381</v>
      </c>
      <c r="AO10">
        <v>917</v>
      </c>
      <c r="AP10">
        <v>77</v>
      </c>
      <c r="AQ10">
        <v>-18</v>
      </c>
      <c r="AR10">
        <v>180</v>
      </c>
      <c r="AS10">
        <v>2</v>
      </c>
      <c r="AT10">
        <v>12</v>
      </c>
      <c r="AU10">
        <v>24</v>
      </c>
      <c r="AV10">
        <v>64</v>
      </c>
      <c r="AW10">
        <v>39</v>
      </c>
      <c r="AX10">
        <v>1485</v>
      </c>
      <c r="AY10">
        <v>52</v>
      </c>
      <c r="AZ10">
        <v>501</v>
      </c>
      <c r="BA10">
        <v>4823</v>
      </c>
      <c r="BB10">
        <v>30</v>
      </c>
      <c r="BC10">
        <v>2219</v>
      </c>
      <c r="BD10">
        <v>31307</v>
      </c>
      <c r="BE10">
        <v>-57</v>
      </c>
      <c r="BF10">
        <v>732</v>
      </c>
      <c r="BG10">
        <v>2651</v>
      </c>
      <c r="BH10">
        <v>13</v>
      </c>
      <c r="BI10">
        <v>77</v>
      </c>
      <c r="BJ10">
        <v>272</v>
      </c>
      <c r="BK10">
        <v>41</v>
      </c>
      <c r="BL10">
        <v>1049</v>
      </c>
      <c r="BM10">
        <v>4063</v>
      </c>
      <c r="BN10">
        <v>13</v>
      </c>
      <c r="BO10">
        <v>148</v>
      </c>
      <c r="BP10">
        <v>127</v>
      </c>
      <c r="BQ10">
        <v>12</v>
      </c>
      <c r="BR10">
        <v>-3</v>
      </c>
      <c r="BS10">
        <v>15161</v>
      </c>
      <c r="BT10">
        <v>15</v>
      </c>
      <c r="BU10">
        <v>311</v>
      </c>
      <c r="BV10">
        <v>-3782</v>
      </c>
      <c r="BW10">
        <v>-19</v>
      </c>
      <c r="BX10">
        <v>3007</v>
      </c>
      <c r="BY10">
        <v>8274</v>
      </c>
      <c r="BZ10">
        <v>8</v>
      </c>
      <c r="CA10">
        <v>65</v>
      </c>
      <c r="CB10">
        <v>2120</v>
      </c>
      <c r="CC10">
        <v>24</v>
      </c>
      <c r="CD10">
        <v>366</v>
      </c>
      <c r="CE10">
        <v>3632</v>
      </c>
      <c r="CF10">
        <v>86</v>
      </c>
      <c r="CG10">
        <v>6557</v>
      </c>
      <c r="CH10">
        <v>8870</v>
      </c>
      <c r="CI10">
        <v>12</v>
      </c>
      <c r="CJ10">
        <v>1077</v>
      </c>
      <c r="CK10">
        <v>3830</v>
      </c>
      <c r="CL10">
        <v>3332</v>
      </c>
      <c r="CM10">
        <v>1324</v>
      </c>
      <c r="CN10">
        <v>-193</v>
      </c>
      <c r="CO10">
        <v>12880</v>
      </c>
      <c r="CP10">
        <v>500</v>
      </c>
      <c r="CQ10">
        <v>317</v>
      </c>
      <c r="CR10">
        <v>25083</v>
      </c>
      <c r="CS10">
        <v>18077</v>
      </c>
      <c r="CT10">
        <v>843</v>
      </c>
      <c r="CU10">
        <v>23421</v>
      </c>
      <c r="CV10">
        <v>4555</v>
      </c>
      <c r="CW10">
        <v>943</v>
      </c>
      <c r="CX10">
        <v>1572</v>
      </c>
      <c r="CY10">
        <v>-332</v>
      </c>
      <c r="CZ10">
        <v>120</v>
      </c>
      <c r="DA10">
        <v>7794</v>
      </c>
      <c r="DB10">
        <v>10874</v>
      </c>
      <c r="DC10">
        <v>65</v>
      </c>
      <c r="DD10">
        <v>2581</v>
      </c>
      <c r="DE10">
        <v>50100</v>
      </c>
      <c r="DF10">
        <v>22</v>
      </c>
      <c r="DG10">
        <v>225</v>
      </c>
      <c r="DH10">
        <v>2271</v>
      </c>
      <c r="DI10">
        <v>103</v>
      </c>
      <c r="DJ10">
        <v>201</v>
      </c>
      <c r="DK10">
        <v>18</v>
      </c>
      <c r="DL10">
        <v>323</v>
      </c>
      <c r="DM10">
        <v>9446</v>
      </c>
      <c r="DN10">
        <v>-7</v>
      </c>
      <c r="DO10">
        <v>126</v>
      </c>
      <c r="DP10">
        <v>76</v>
      </c>
      <c r="DQ10">
        <v>874</v>
      </c>
      <c r="DR10">
        <v>8377</v>
      </c>
      <c r="DS10">
        <v>78469</v>
      </c>
      <c r="DT10">
        <v>67742</v>
      </c>
      <c r="DU10">
        <v>293</v>
      </c>
      <c r="DV10">
        <v>221</v>
      </c>
      <c r="DW10">
        <v>91</v>
      </c>
      <c r="DX10">
        <v>605</v>
      </c>
      <c r="DY10">
        <v>19933</v>
      </c>
      <c r="DZ10">
        <v>79</v>
      </c>
      <c r="EA10">
        <v>64</v>
      </c>
      <c r="EB10">
        <v>411</v>
      </c>
      <c r="EC10">
        <v>1453</v>
      </c>
      <c r="ED10">
        <v>17926</v>
      </c>
      <c r="EE10">
        <v>109839</v>
      </c>
      <c r="EF10">
        <v>-2472</v>
      </c>
      <c r="EG10">
        <v>189</v>
      </c>
      <c r="EH10">
        <v>20</v>
      </c>
      <c r="EI10">
        <v>73</v>
      </c>
      <c r="EJ10">
        <v>282</v>
      </c>
      <c r="EK10">
        <v>10487</v>
      </c>
      <c r="EL10">
        <v>86</v>
      </c>
      <c r="EM10">
        <v>-63</v>
      </c>
      <c r="EN10">
        <v>335</v>
      </c>
      <c r="EO10">
        <v>580</v>
      </c>
      <c r="EP10">
        <v>9549</v>
      </c>
      <c r="EQ10">
        <v>31369</v>
      </c>
      <c r="ER10">
        <v>6738</v>
      </c>
      <c r="ES10">
        <v>8</v>
      </c>
      <c r="ET10">
        <v>4159</v>
      </c>
      <c r="EU10">
        <v>12582</v>
      </c>
      <c r="EV10">
        <v>13186</v>
      </c>
      <c r="EW10">
        <v>4656</v>
      </c>
    </row>
    <row r="11" spans="1:153" ht="18" x14ac:dyDescent="0.2">
      <c r="A11" t="s">
        <v>78</v>
      </c>
      <c r="B11" t="s">
        <v>79</v>
      </c>
      <c r="C11" t="s">
        <v>204</v>
      </c>
      <c r="D11" t="s">
        <v>242</v>
      </c>
      <c r="E11" t="s">
        <v>245</v>
      </c>
      <c r="G11">
        <v>0</v>
      </c>
      <c r="I11" s="2">
        <v>0</v>
      </c>
      <c r="K11">
        <v>-1315</v>
      </c>
      <c r="M11">
        <v>-10926</v>
      </c>
      <c r="N11">
        <v>0</v>
      </c>
      <c r="O11">
        <v>0</v>
      </c>
      <c r="P11">
        <v>-2093</v>
      </c>
      <c r="Q11">
        <v>0</v>
      </c>
      <c r="R11">
        <v>0</v>
      </c>
      <c r="S11">
        <v>-4</v>
      </c>
      <c r="T11">
        <v>0</v>
      </c>
      <c r="U11">
        <v>0</v>
      </c>
      <c r="V11">
        <v>-184</v>
      </c>
      <c r="W11">
        <v>0</v>
      </c>
      <c r="X11">
        <v>0</v>
      </c>
      <c r="Y11">
        <v>-213</v>
      </c>
      <c r="Z11">
        <v>0</v>
      </c>
      <c r="AA11">
        <v>0</v>
      </c>
      <c r="AB11">
        <v>-230</v>
      </c>
      <c r="AC11">
        <v>0</v>
      </c>
      <c r="AD11">
        <v>0</v>
      </c>
      <c r="AE11">
        <v>-97</v>
      </c>
      <c r="AF11">
        <v>0</v>
      </c>
      <c r="AG11">
        <v>0</v>
      </c>
      <c r="AH11">
        <v>-1016</v>
      </c>
      <c r="AI11">
        <v>0</v>
      </c>
      <c r="AJ11">
        <v>0</v>
      </c>
      <c r="AK11">
        <v>-548</v>
      </c>
      <c r="AL11">
        <v>0</v>
      </c>
      <c r="AM11">
        <v>0</v>
      </c>
      <c r="AN11">
        <v>-395</v>
      </c>
      <c r="AO11">
        <v>0</v>
      </c>
      <c r="AP11">
        <v>0</v>
      </c>
      <c r="AQ11">
        <v>-430</v>
      </c>
      <c r="AR11">
        <v>0</v>
      </c>
      <c r="AS11">
        <v>0</v>
      </c>
      <c r="AT11">
        <v>-48</v>
      </c>
      <c r="AU11">
        <v>0</v>
      </c>
      <c r="AV11">
        <v>0</v>
      </c>
      <c r="AW11">
        <v>-302</v>
      </c>
      <c r="AX11">
        <v>0</v>
      </c>
      <c r="AY11">
        <v>0</v>
      </c>
      <c r="AZ11">
        <v>-340</v>
      </c>
      <c r="BA11">
        <v>0</v>
      </c>
      <c r="BB11">
        <v>0</v>
      </c>
      <c r="BC11">
        <v>-982</v>
      </c>
      <c r="BD11">
        <v>0</v>
      </c>
      <c r="BE11">
        <v>0</v>
      </c>
      <c r="BF11">
        <v>193</v>
      </c>
      <c r="BG11">
        <v>0</v>
      </c>
      <c r="BH11">
        <v>0</v>
      </c>
      <c r="BI11">
        <v>-12</v>
      </c>
      <c r="BJ11">
        <v>0</v>
      </c>
      <c r="BK11">
        <v>0</v>
      </c>
      <c r="BL11">
        <v>-1466</v>
      </c>
      <c r="BM11">
        <v>0</v>
      </c>
      <c r="BN11">
        <v>0</v>
      </c>
      <c r="BO11">
        <v>-37</v>
      </c>
      <c r="BP11">
        <v>0</v>
      </c>
      <c r="BQ11">
        <v>0</v>
      </c>
      <c r="BR11">
        <v>-2413</v>
      </c>
      <c r="BS11">
        <v>0</v>
      </c>
      <c r="BT11">
        <v>0</v>
      </c>
      <c r="BU11">
        <v>-6384</v>
      </c>
      <c r="BV11">
        <v>0</v>
      </c>
      <c r="BW11">
        <v>0</v>
      </c>
      <c r="BX11">
        <v>43</v>
      </c>
      <c r="BY11">
        <v>0</v>
      </c>
      <c r="BZ11">
        <v>0</v>
      </c>
      <c r="CA11">
        <v>-42</v>
      </c>
      <c r="CB11">
        <v>0</v>
      </c>
      <c r="CC11">
        <v>0</v>
      </c>
      <c r="CD11">
        <v>260</v>
      </c>
      <c r="CE11">
        <v>0</v>
      </c>
      <c r="CF11">
        <v>0</v>
      </c>
      <c r="CG11">
        <v>-2707</v>
      </c>
      <c r="CH11">
        <v>0</v>
      </c>
      <c r="CI11">
        <v>0</v>
      </c>
      <c r="CJ11">
        <v>10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-9639</v>
      </c>
      <c r="DB11">
        <v>0</v>
      </c>
      <c r="DC11">
        <v>0</v>
      </c>
      <c r="DD11">
        <v>-3136</v>
      </c>
      <c r="DE11">
        <v>0</v>
      </c>
      <c r="DF11">
        <v>0</v>
      </c>
      <c r="DG11">
        <v>-127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-5839</v>
      </c>
      <c r="DN11">
        <v>-183</v>
      </c>
      <c r="DO11">
        <v>-158</v>
      </c>
      <c r="DP11">
        <v>-51</v>
      </c>
      <c r="DQ11">
        <v>-1231</v>
      </c>
      <c r="DR11">
        <v>-4216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-20813</v>
      </c>
      <c r="DZ11">
        <v>-315</v>
      </c>
      <c r="EA11">
        <v>198</v>
      </c>
      <c r="EB11">
        <v>-139</v>
      </c>
      <c r="EC11">
        <v>-2469</v>
      </c>
      <c r="ED11">
        <v>-18088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-14974</v>
      </c>
      <c r="EL11">
        <v>-132</v>
      </c>
      <c r="EM11">
        <v>356</v>
      </c>
      <c r="EN11">
        <v>-89</v>
      </c>
      <c r="EO11">
        <v>-1238</v>
      </c>
      <c r="EP11">
        <v>-13872</v>
      </c>
      <c r="EQ11">
        <v>0</v>
      </c>
      <c r="ER11">
        <v>0</v>
      </c>
      <c r="ES11">
        <v>0</v>
      </c>
      <c r="ET11">
        <v>-7</v>
      </c>
      <c r="EU11">
        <v>0</v>
      </c>
      <c r="EV11">
        <v>0</v>
      </c>
      <c r="EW11">
        <v>0</v>
      </c>
    </row>
    <row r="12" spans="1:153" ht="18" x14ac:dyDescent="0.2">
      <c r="A12" t="s">
        <v>80</v>
      </c>
      <c r="B12" t="s">
        <v>81</v>
      </c>
      <c r="C12" t="s">
        <v>204</v>
      </c>
      <c r="D12" t="s">
        <v>242</v>
      </c>
      <c r="E12" t="s">
        <v>245</v>
      </c>
      <c r="G12">
        <v>0</v>
      </c>
      <c r="I12" s="2">
        <v>0</v>
      </c>
      <c r="K12">
        <v>1980</v>
      </c>
      <c r="M12">
        <v>1770</v>
      </c>
      <c r="N12">
        <v>0</v>
      </c>
      <c r="O12">
        <v>0</v>
      </c>
      <c r="P12">
        <v>5317</v>
      </c>
      <c r="Q12">
        <v>0</v>
      </c>
      <c r="R12">
        <v>0</v>
      </c>
      <c r="S12">
        <v>135</v>
      </c>
      <c r="T12">
        <v>0</v>
      </c>
      <c r="U12">
        <v>0</v>
      </c>
      <c r="V12">
        <v>1734</v>
      </c>
      <c r="W12">
        <v>0</v>
      </c>
      <c r="X12">
        <v>0</v>
      </c>
      <c r="Y12">
        <v>110</v>
      </c>
      <c r="Z12">
        <v>0</v>
      </c>
      <c r="AA12">
        <v>0</v>
      </c>
      <c r="AB12">
        <v>283</v>
      </c>
      <c r="AC12">
        <v>0</v>
      </c>
      <c r="AD12">
        <v>0</v>
      </c>
      <c r="AE12">
        <v>5</v>
      </c>
      <c r="AF12">
        <v>0</v>
      </c>
      <c r="AG12">
        <v>0</v>
      </c>
      <c r="AH12">
        <v>11846</v>
      </c>
      <c r="AI12">
        <v>0</v>
      </c>
      <c r="AJ12">
        <v>0</v>
      </c>
      <c r="AK12">
        <v>4806</v>
      </c>
      <c r="AL12">
        <v>0</v>
      </c>
      <c r="AM12">
        <v>0</v>
      </c>
      <c r="AN12">
        <v>853</v>
      </c>
      <c r="AO12">
        <v>0</v>
      </c>
      <c r="AP12">
        <v>0</v>
      </c>
      <c r="AQ12">
        <v>530</v>
      </c>
      <c r="AR12">
        <v>0</v>
      </c>
      <c r="AS12">
        <v>0</v>
      </c>
      <c r="AT12">
        <v>53</v>
      </c>
      <c r="AU12">
        <v>0</v>
      </c>
      <c r="AV12">
        <v>0</v>
      </c>
      <c r="AW12">
        <v>1633</v>
      </c>
      <c r="AX12">
        <v>0</v>
      </c>
      <c r="AY12">
        <v>0</v>
      </c>
      <c r="AZ12">
        <v>4198</v>
      </c>
      <c r="BA12">
        <v>0</v>
      </c>
      <c r="BB12">
        <v>0</v>
      </c>
      <c r="BC12">
        <v>29716</v>
      </c>
      <c r="BD12">
        <v>0</v>
      </c>
      <c r="BE12">
        <v>0</v>
      </c>
      <c r="BF12">
        <v>1755</v>
      </c>
      <c r="BG12">
        <v>0</v>
      </c>
      <c r="BH12">
        <v>0</v>
      </c>
      <c r="BI12">
        <v>188</v>
      </c>
      <c r="BJ12">
        <v>0</v>
      </c>
      <c r="BK12">
        <v>0</v>
      </c>
      <c r="BL12">
        <v>4429</v>
      </c>
      <c r="BM12">
        <v>0</v>
      </c>
      <c r="BN12">
        <v>0</v>
      </c>
      <c r="BO12">
        <v>2</v>
      </c>
      <c r="BP12">
        <v>0</v>
      </c>
      <c r="BQ12">
        <v>0</v>
      </c>
      <c r="BR12">
        <v>17391</v>
      </c>
      <c r="BS12">
        <v>0</v>
      </c>
      <c r="BT12">
        <v>0</v>
      </c>
      <c r="BU12">
        <v>1970</v>
      </c>
      <c r="BV12">
        <v>0</v>
      </c>
      <c r="BW12">
        <v>0</v>
      </c>
      <c r="BX12">
        <v>5216</v>
      </c>
      <c r="BY12">
        <v>0</v>
      </c>
      <c r="BZ12">
        <v>0</v>
      </c>
      <c r="CA12">
        <v>1398</v>
      </c>
      <c r="CB12">
        <v>0</v>
      </c>
      <c r="CC12">
        <v>0</v>
      </c>
      <c r="CD12">
        <v>2982</v>
      </c>
      <c r="CE12">
        <v>0</v>
      </c>
      <c r="CF12">
        <v>0</v>
      </c>
      <c r="CG12">
        <v>4279</v>
      </c>
      <c r="CH12">
        <v>0</v>
      </c>
      <c r="CI12">
        <v>0</v>
      </c>
      <c r="CJ12">
        <v>2682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11055</v>
      </c>
      <c r="DB12">
        <v>0</v>
      </c>
      <c r="DC12">
        <v>0</v>
      </c>
      <c r="DD12">
        <v>50089</v>
      </c>
      <c r="DE12">
        <v>0</v>
      </c>
      <c r="DF12">
        <v>0</v>
      </c>
      <c r="DG12">
        <v>1452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72730</v>
      </c>
      <c r="DN12">
        <v>13</v>
      </c>
      <c r="DO12">
        <v>79</v>
      </c>
      <c r="DP12">
        <v>3</v>
      </c>
      <c r="DQ12">
        <v>3492</v>
      </c>
      <c r="DR12">
        <v>69143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105937</v>
      </c>
      <c r="DZ12">
        <v>3</v>
      </c>
      <c r="EA12">
        <v>71</v>
      </c>
      <c r="EB12">
        <v>48</v>
      </c>
      <c r="EC12">
        <v>4853</v>
      </c>
      <c r="ED12">
        <v>100962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33207</v>
      </c>
      <c r="EL12">
        <v>-11</v>
      </c>
      <c r="EM12">
        <v>-8</v>
      </c>
      <c r="EN12">
        <v>45</v>
      </c>
      <c r="EO12">
        <v>1362</v>
      </c>
      <c r="EP12">
        <v>31819</v>
      </c>
      <c r="EQ12">
        <v>0</v>
      </c>
      <c r="ER12">
        <v>0</v>
      </c>
      <c r="ES12">
        <v>0</v>
      </c>
      <c r="ET12">
        <v>8345</v>
      </c>
      <c r="EU12">
        <v>0</v>
      </c>
      <c r="EV12">
        <v>0</v>
      </c>
      <c r="EW12">
        <v>0</v>
      </c>
    </row>
    <row r="13" spans="1:153" ht="18" x14ac:dyDescent="0.2">
      <c r="A13" t="s">
        <v>82</v>
      </c>
      <c r="B13" t="s">
        <v>83</v>
      </c>
      <c r="C13" t="s">
        <v>204</v>
      </c>
      <c r="D13" t="s">
        <v>241</v>
      </c>
      <c r="E13" t="s">
        <v>245</v>
      </c>
      <c r="F13">
        <f>G7-G8+G9+G10+G11+G12</f>
        <v>2117</v>
      </c>
      <c r="G13">
        <v>2117</v>
      </c>
      <c r="H13">
        <f>I7-I8+I9+I10+I11+I12</f>
        <v>2066</v>
      </c>
      <c r="I13" s="2">
        <v>2066</v>
      </c>
      <c r="J13">
        <f>K7-K8+K9+K10+K11+K12</f>
        <v>7509</v>
      </c>
      <c r="K13">
        <v>7510</v>
      </c>
      <c r="L13">
        <f>M7-M8+M9+M10+M11+M12</f>
        <v>-2254</v>
      </c>
      <c r="M13">
        <v>-2254</v>
      </c>
      <c r="N13">
        <v>9627</v>
      </c>
      <c r="O13">
        <v>339</v>
      </c>
      <c r="P13">
        <v>14061</v>
      </c>
      <c r="Q13">
        <v>14399</v>
      </c>
      <c r="R13">
        <v>47</v>
      </c>
      <c r="S13">
        <v>89</v>
      </c>
      <c r="T13">
        <v>136</v>
      </c>
      <c r="U13">
        <v>-42</v>
      </c>
      <c r="V13">
        <v>2655</v>
      </c>
      <c r="W13">
        <v>2613</v>
      </c>
      <c r="X13">
        <v>216</v>
      </c>
      <c r="Y13">
        <v>1272</v>
      </c>
      <c r="Z13">
        <v>1488</v>
      </c>
      <c r="AA13">
        <v>300</v>
      </c>
      <c r="AB13">
        <v>1612</v>
      </c>
      <c r="AC13">
        <v>1912</v>
      </c>
      <c r="AD13">
        <v>178</v>
      </c>
      <c r="AE13">
        <v>-195</v>
      </c>
      <c r="AF13">
        <v>-17</v>
      </c>
      <c r="AG13">
        <v>45</v>
      </c>
      <c r="AH13">
        <v>14911</v>
      </c>
      <c r="AI13">
        <v>14956</v>
      </c>
      <c r="AJ13">
        <v>437</v>
      </c>
      <c r="AK13">
        <v>11015</v>
      </c>
      <c r="AL13">
        <v>11452</v>
      </c>
      <c r="AM13">
        <v>359</v>
      </c>
      <c r="AN13">
        <v>2139</v>
      </c>
      <c r="AO13">
        <v>2498</v>
      </c>
      <c r="AP13">
        <v>225</v>
      </c>
      <c r="AQ13">
        <v>2201</v>
      </c>
      <c r="AR13">
        <v>2426</v>
      </c>
      <c r="AS13">
        <v>70</v>
      </c>
      <c r="AT13">
        <v>675</v>
      </c>
      <c r="AU13">
        <v>745</v>
      </c>
      <c r="AV13">
        <v>2221</v>
      </c>
      <c r="AW13">
        <v>6498</v>
      </c>
      <c r="AX13">
        <v>8718</v>
      </c>
      <c r="AY13">
        <v>913</v>
      </c>
      <c r="AZ13">
        <v>14084</v>
      </c>
      <c r="BA13">
        <v>14997</v>
      </c>
      <c r="BB13">
        <v>-18</v>
      </c>
      <c r="BC13">
        <v>41854</v>
      </c>
      <c r="BD13">
        <v>41837</v>
      </c>
      <c r="BE13">
        <v>269</v>
      </c>
      <c r="BF13">
        <v>7505</v>
      </c>
      <c r="BG13">
        <v>7774</v>
      </c>
      <c r="BH13">
        <v>175</v>
      </c>
      <c r="BI13">
        <v>433</v>
      </c>
      <c r="BJ13">
        <v>609</v>
      </c>
      <c r="BK13">
        <v>40</v>
      </c>
      <c r="BL13">
        <v>8939</v>
      </c>
      <c r="BM13">
        <v>8979</v>
      </c>
      <c r="BN13">
        <v>74</v>
      </c>
      <c r="BO13">
        <v>425</v>
      </c>
      <c r="BP13">
        <v>499</v>
      </c>
      <c r="BQ13">
        <v>138</v>
      </c>
      <c r="BR13">
        <v>30325</v>
      </c>
      <c r="BS13">
        <v>30464</v>
      </c>
      <c r="BT13">
        <v>269</v>
      </c>
      <c r="BU13">
        <v>-2466</v>
      </c>
      <c r="BV13">
        <v>-2197</v>
      </c>
      <c r="BW13">
        <v>310</v>
      </c>
      <c r="BX13">
        <v>6580</v>
      </c>
      <c r="BY13">
        <v>6889</v>
      </c>
      <c r="BZ13">
        <v>79</v>
      </c>
      <c r="CA13">
        <v>3296</v>
      </c>
      <c r="CB13">
        <v>3375</v>
      </c>
      <c r="CC13">
        <v>179</v>
      </c>
      <c r="CD13">
        <v>7186</v>
      </c>
      <c r="CE13">
        <v>7365</v>
      </c>
      <c r="CF13">
        <v>26</v>
      </c>
      <c r="CG13">
        <v>28561</v>
      </c>
      <c r="CH13">
        <v>28587</v>
      </c>
      <c r="CI13">
        <v>83</v>
      </c>
      <c r="CJ13">
        <v>7677</v>
      </c>
      <c r="CK13">
        <v>7760</v>
      </c>
      <c r="CL13">
        <v>14116</v>
      </c>
      <c r="CM13">
        <v>9434</v>
      </c>
      <c r="CN13">
        <v>3518</v>
      </c>
      <c r="CO13">
        <v>32366</v>
      </c>
      <c r="CP13">
        <v>19688</v>
      </c>
      <c r="CQ13">
        <v>-73</v>
      </c>
      <c r="CR13">
        <v>40993</v>
      </c>
      <c r="CS13">
        <v>24456</v>
      </c>
      <c r="CT13">
        <v>21353</v>
      </c>
      <c r="CU13">
        <v>36434</v>
      </c>
      <c r="CV13">
        <v>4889</v>
      </c>
      <c r="CW13">
        <v>2548</v>
      </c>
      <c r="CX13">
        <v>-8921</v>
      </c>
      <c r="CY13">
        <v>3836</v>
      </c>
      <c r="CZ13">
        <v>733</v>
      </c>
      <c r="DA13">
        <v>37110</v>
      </c>
      <c r="DB13">
        <v>37843</v>
      </c>
      <c r="DC13">
        <v>300</v>
      </c>
      <c r="DD13">
        <v>79366</v>
      </c>
      <c r="DE13">
        <v>79666</v>
      </c>
      <c r="DF13">
        <v>223</v>
      </c>
      <c r="DG13">
        <v>4396</v>
      </c>
      <c r="DH13">
        <v>4619</v>
      </c>
      <c r="DI13">
        <v>2417</v>
      </c>
      <c r="DJ13">
        <v>1362</v>
      </c>
      <c r="DK13">
        <v>1115</v>
      </c>
      <c r="DL13">
        <v>4893</v>
      </c>
      <c r="DM13">
        <v>140570</v>
      </c>
      <c r="DN13">
        <v>490</v>
      </c>
      <c r="DO13">
        <v>2024</v>
      </c>
      <c r="DP13">
        <v>644</v>
      </c>
      <c r="DQ13">
        <v>11409</v>
      </c>
      <c r="DR13">
        <v>126003</v>
      </c>
      <c r="DS13">
        <v>145463</v>
      </c>
      <c r="DT13">
        <v>123163</v>
      </c>
      <c r="DU13">
        <v>3135</v>
      </c>
      <c r="DV13">
        <v>3515</v>
      </c>
      <c r="DW13">
        <v>2319</v>
      </c>
      <c r="DX13">
        <v>8969</v>
      </c>
      <c r="DY13">
        <v>220461</v>
      </c>
      <c r="DZ13">
        <v>1275</v>
      </c>
      <c r="EA13">
        <v>2776</v>
      </c>
      <c r="EB13">
        <v>3011</v>
      </c>
      <c r="EC13">
        <v>16769</v>
      </c>
      <c r="ED13">
        <v>196630</v>
      </c>
      <c r="EE13">
        <v>229430</v>
      </c>
      <c r="EF13">
        <v>18856</v>
      </c>
      <c r="EG13">
        <v>719</v>
      </c>
      <c r="EH13">
        <v>2153</v>
      </c>
      <c r="EI13">
        <v>1204</v>
      </c>
      <c r="EJ13">
        <v>4076</v>
      </c>
      <c r="EK13">
        <v>79892</v>
      </c>
      <c r="EL13">
        <v>786</v>
      </c>
      <c r="EM13">
        <v>753</v>
      </c>
      <c r="EN13">
        <v>2367</v>
      </c>
      <c r="EO13">
        <v>5360</v>
      </c>
      <c r="EP13">
        <v>70627</v>
      </c>
      <c r="EQ13">
        <v>83967</v>
      </c>
      <c r="ER13">
        <v>2352</v>
      </c>
      <c r="ES13">
        <v>311</v>
      </c>
      <c r="ET13">
        <v>15876</v>
      </c>
      <c r="EU13">
        <v>16187</v>
      </c>
      <c r="EV13">
        <v>55572</v>
      </c>
      <c r="EW13">
        <v>23549</v>
      </c>
    </row>
    <row r="14" spans="1:153" ht="18" x14ac:dyDescent="0.2">
      <c r="A14" t="s">
        <v>84</v>
      </c>
      <c r="B14" t="s">
        <v>85</v>
      </c>
      <c r="C14" t="s">
        <v>204</v>
      </c>
      <c r="D14" t="s">
        <v>241</v>
      </c>
      <c r="E14" t="s">
        <v>244</v>
      </c>
      <c r="G14">
        <v>141</v>
      </c>
      <c r="I14" s="2">
        <v>93</v>
      </c>
      <c r="K14">
        <v>1077</v>
      </c>
      <c r="M14">
        <v>1139</v>
      </c>
      <c r="N14">
        <v>1432</v>
      </c>
      <c r="O14">
        <v>14</v>
      </c>
      <c r="P14">
        <v>476</v>
      </c>
      <c r="Q14">
        <v>871</v>
      </c>
      <c r="R14">
        <v>40</v>
      </c>
      <c r="S14">
        <v>15</v>
      </c>
      <c r="T14">
        <v>53</v>
      </c>
      <c r="U14">
        <v>20</v>
      </c>
      <c r="V14">
        <v>98</v>
      </c>
      <c r="W14">
        <v>151</v>
      </c>
      <c r="X14">
        <v>36</v>
      </c>
      <c r="Y14">
        <v>234</v>
      </c>
      <c r="Z14">
        <v>290</v>
      </c>
      <c r="AA14">
        <v>32</v>
      </c>
      <c r="AB14">
        <v>280</v>
      </c>
      <c r="AC14">
        <v>242</v>
      </c>
      <c r="AD14">
        <v>10</v>
      </c>
      <c r="AE14">
        <v>-8</v>
      </c>
      <c r="AF14">
        <v>5</v>
      </c>
      <c r="AG14">
        <v>25</v>
      </c>
      <c r="AH14">
        <v>1744</v>
      </c>
      <c r="AI14">
        <v>1799</v>
      </c>
      <c r="AJ14">
        <v>18</v>
      </c>
      <c r="AK14">
        <v>383</v>
      </c>
      <c r="AL14">
        <v>823</v>
      </c>
      <c r="AM14">
        <v>23</v>
      </c>
      <c r="AN14">
        <v>121</v>
      </c>
      <c r="AO14">
        <v>197</v>
      </c>
      <c r="AP14">
        <v>85</v>
      </c>
      <c r="AQ14">
        <v>-259</v>
      </c>
      <c r="AR14">
        <v>-166</v>
      </c>
      <c r="AS14">
        <v>11</v>
      </c>
      <c r="AT14">
        <v>92</v>
      </c>
      <c r="AU14">
        <v>123</v>
      </c>
      <c r="AV14">
        <v>138</v>
      </c>
      <c r="AW14">
        <v>635</v>
      </c>
      <c r="AX14">
        <v>824</v>
      </c>
      <c r="AY14">
        <v>166</v>
      </c>
      <c r="AZ14">
        <v>1398</v>
      </c>
      <c r="BA14">
        <v>1775</v>
      </c>
      <c r="BB14">
        <v>43</v>
      </c>
      <c r="BC14">
        <v>3772</v>
      </c>
      <c r="BD14">
        <v>4002</v>
      </c>
      <c r="BE14">
        <v>19</v>
      </c>
      <c r="BF14">
        <v>536</v>
      </c>
      <c r="BG14">
        <v>684</v>
      </c>
      <c r="BH14">
        <v>13</v>
      </c>
      <c r="BI14">
        <v>72</v>
      </c>
      <c r="BJ14">
        <v>113</v>
      </c>
      <c r="BK14">
        <v>26</v>
      </c>
      <c r="BL14">
        <v>720</v>
      </c>
      <c r="BM14">
        <v>788</v>
      </c>
      <c r="BN14">
        <v>2</v>
      </c>
      <c r="BO14">
        <v>84</v>
      </c>
      <c r="BP14">
        <v>93</v>
      </c>
      <c r="BQ14">
        <v>27</v>
      </c>
      <c r="BR14">
        <v>1701</v>
      </c>
      <c r="BS14">
        <v>2047</v>
      </c>
      <c r="BT14">
        <v>14</v>
      </c>
      <c r="BU14">
        <v>-131</v>
      </c>
      <c r="BV14">
        <v>-60</v>
      </c>
      <c r="BW14">
        <v>33</v>
      </c>
      <c r="BX14">
        <v>204</v>
      </c>
      <c r="BY14">
        <v>1097</v>
      </c>
      <c r="BZ14">
        <v>9</v>
      </c>
      <c r="CA14">
        <v>171</v>
      </c>
      <c r="CB14">
        <v>235</v>
      </c>
      <c r="CC14">
        <v>8</v>
      </c>
      <c r="CD14">
        <v>137</v>
      </c>
      <c r="CE14">
        <v>176</v>
      </c>
      <c r="CF14">
        <v>7</v>
      </c>
      <c r="CG14">
        <v>2267</v>
      </c>
      <c r="CH14">
        <v>2434</v>
      </c>
      <c r="CI14">
        <v>7</v>
      </c>
      <c r="CJ14">
        <v>720</v>
      </c>
      <c r="CK14">
        <v>1039</v>
      </c>
      <c r="CL14">
        <v>3440</v>
      </c>
      <c r="CM14">
        <v>1718</v>
      </c>
      <c r="CN14">
        <v>811</v>
      </c>
      <c r="CO14">
        <v>6050</v>
      </c>
      <c r="CP14">
        <v>4021</v>
      </c>
      <c r="CQ14">
        <v>91</v>
      </c>
      <c r="CR14">
        <v>5402</v>
      </c>
      <c r="CS14">
        <v>2289</v>
      </c>
      <c r="CT14">
        <v>5271</v>
      </c>
      <c r="CU14">
        <v>6662</v>
      </c>
      <c r="CV14">
        <v>1286</v>
      </c>
      <c r="CW14">
        <v>443</v>
      </c>
      <c r="CX14">
        <v>467</v>
      </c>
      <c r="CY14">
        <v>995</v>
      </c>
      <c r="CZ14">
        <v>39</v>
      </c>
      <c r="DA14">
        <v>2519</v>
      </c>
      <c r="DB14">
        <v>3197</v>
      </c>
      <c r="DC14">
        <v>78</v>
      </c>
      <c r="DD14">
        <v>5610</v>
      </c>
      <c r="DE14">
        <v>6225</v>
      </c>
      <c r="DF14">
        <v>22</v>
      </c>
      <c r="DG14">
        <v>347</v>
      </c>
      <c r="DH14">
        <v>451</v>
      </c>
      <c r="DI14">
        <v>221</v>
      </c>
      <c r="DJ14">
        <v>240</v>
      </c>
      <c r="DK14">
        <v>160</v>
      </c>
      <c r="DL14">
        <v>621</v>
      </c>
      <c r="DM14">
        <v>10466</v>
      </c>
      <c r="DN14">
        <v>118</v>
      </c>
      <c r="DO14">
        <v>245</v>
      </c>
      <c r="DP14">
        <v>255</v>
      </c>
      <c r="DQ14">
        <v>1302</v>
      </c>
      <c r="DR14">
        <v>8545</v>
      </c>
      <c r="DS14">
        <v>13367</v>
      </c>
      <c r="DT14">
        <v>19715</v>
      </c>
      <c r="DU14">
        <v>352</v>
      </c>
      <c r="DV14">
        <v>342</v>
      </c>
      <c r="DW14">
        <v>269</v>
      </c>
      <c r="DX14">
        <v>964</v>
      </c>
      <c r="DY14">
        <v>16788</v>
      </c>
      <c r="DZ14">
        <v>178</v>
      </c>
      <c r="EA14">
        <v>300</v>
      </c>
      <c r="EB14">
        <v>437</v>
      </c>
      <c r="EC14">
        <v>1802</v>
      </c>
      <c r="ED14">
        <v>14070</v>
      </c>
      <c r="EE14">
        <v>21315</v>
      </c>
      <c r="EF14">
        <v>3420</v>
      </c>
      <c r="EG14">
        <v>132</v>
      </c>
      <c r="EH14">
        <v>102</v>
      </c>
      <c r="EI14">
        <v>109</v>
      </c>
      <c r="EJ14">
        <v>343</v>
      </c>
      <c r="EK14">
        <v>6322</v>
      </c>
      <c r="EL14">
        <v>60</v>
      </c>
      <c r="EM14">
        <v>55</v>
      </c>
      <c r="EN14">
        <v>182</v>
      </c>
      <c r="EO14">
        <v>500</v>
      </c>
      <c r="EP14">
        <v>5525</v>
      </c>
      <c r="EQ14">
        <v>7948</v>
      </c>
      <c r="ER14">
        <v>3192</v>
      </c>
      <c r="ES14">
        <v>37</v>
      </c>
      <c r="ET14">
        <v>1174</v>
      </c>
      <c r="EU14">
        <v>2383</v>
      </c>
      <c r="EV14">
        <v>10881</v>
      </c>
      <c r="EW14">
        <v>5158</v>
      </c>
    </row>
    <row r="15" spans="1:153" ht="18" x14ac:dyDescent="0.2">
      <c r="A15" t="s">
        <v>86</v>
      </c>
      <c r="B15" t="s">
        <v>87</v>
      </c>
      <c r="C15" t="s">
        <v>204</v>
      </c>
      <c r="D15" t="s">
        <v>241</v>
      </c>
      <c r="E15" t="s">
        <v>244</v>
      </c>
      <c r="G15">
        <v>0</v>
      </c>
      <c r="I15" s="2">
        <v>0</v>
      </c>
      <c r="K15">
        <v>215</v>
      </c>
      <c r="M15">
        <v>159</v>
      </c>
      <c r="N15">
        <v>0</v>
      </c>
      <c r="O15">
        <v>0</v>
      </c>
      <c r="P15">
        <v>381</v>
      </c>
      <c r="Q15">
        <v>0</v>
      </c>
      <c r="R15">
        <v>0</v>
      </c>
      <c r="S15">
        <v>-1</v>
      </c>
      <c r="T15">
        <v>0</v>
      </c>
      <c r="U15">
        <v>0</v>
      </c>
      <c r="V15">
        <v>33</v>
      </c>
      <c r="W15">
        <v>0</v>
      </c>
      <c r="X15">
        <v>0</v>
      </c>
      <c r="Y15">
        <v>20</v>
      </c>
      <c r="Z15">
        <v>0</v>
      </c>
      <c r="AA15">
        <v>0</v>
      </c>
      <c r="AB15">
        <v>-70</v>
      </c>
      <c r="AC15">
        <v>0</v>
      </c>
      <c r="AD15">
        <v>0</v>
      </c>
      <c r="AE15">
        <v>3</v>
      </c>
      <c r="AF15">
        <v>0</v>
      </c>
      <c r="AG15">
        <v>0</v>
      </c>
      <c r="AH15">
        <v>30</v>
      </c>
      <c r="AI15">
        <v>0</v>
      </c>
      <c r="AJ15">
        <v>0</v>
      </c>
      <c r="AK15">
        <v>422</v>
      </c>
      <c r="AL15">
        <v>0</v>
      </c>
      <c r="AM15">
        <v>0</v>
      </c>
      <c r="AN15">
        <v>53</v>
      </c>
      <c r="AO15">
        <v>0</v>
      </c>
      <c r="AP15">
        <v>0</v>
      </c>
      <c r="AQ15">
        <v>8</v>
      </c>
      <c r="AR15">
        <v>0</v>
      </c>
      <c r="AS15">
        <v>0</v>
      </c>
      <c r="AT15">
        <v>20</v>
      </c>
      <c r="AU15">
        <v>0</v>
      </c>
      <c r="AV15">
        <v>0</v>
      </c>
      <c r="AW15">
        <v>51</v>
      </c>
      <c r="AX15">
        <v>0</v>
      </c>
      <c r="AY15">
        <v>0</v>
      </c>
      <c r="AZ15">
        <v>212</v>
      </c>
      <c r="BA15">
        <v>0</v>
      </c>
      <c r="BB15">
        <v>0</v>
      </c>
      <c r="BC15">
        <v>187</v>
      </c>
      <c r="BD15">
        <v>0</v>
      </c>
      <c r="BE15">
        <v>0</v>
      </c>
      <c r="BF15">
        <v>129</v>
      </c>
      <c r="BG15">
        <v>0</v>
      </c>
      <c r="BH15">
        <v>0</v>
      </c>
      <c r="BI15">
        <v>27</v>
      </c>
      <c r="BJ15">
        <v>0</v>
      </c>
      <c r="BK15">
        <v>0</v>
      </c>
      <c r="BL15">
        <v>42</v>
      </c>
      <c r="BM15">
        <v>0</v>
      </c>
      <c r="BN15">
        <v>0</v>
      </c>
      <c r="BO15">
        <v>7</v>
      </c>
      <c r="BP15">
        <v>0</v>
      </c>
      <c r="BQ15">
        <v>0</v>
      </c>
      <c r="BR15">
        <v>319</v>
      </c>
      <c r="BS15">
        <v>0</v>
      </c>
      <c r="BT15">
        <v>0</v>
      </c>
      <c r="BU15">
        <v>58</v>
      </c>
      <c r="BV15">
        <v>0</v>
      </c>
      <c r="BW15">
        <v>0</v>
      </c>
      <c r="BX15">
        <v>859</v>
      </c>
      <c r="BY15">
        <v>0</v>
      </c>
      <c r="BZ15">
        <v>0</v>
      </c>
      <c r="CA15">
        <v>55</v>
      </c>
      <c r="CB15">
        <v>0</v>
      </c>
      <c r="CC15">
        <v>0</v>
      </c>
      <c r="CD15">
        <v>31</v>
      </c>
      <c r="CE15">
        <v>0</v>
      </c>
      <c r="CF15">
        <v>0</v>
      </c>
      <c r="CG15">
        <v>160</v>
      </c>
      <c r="CH15">
        <v>0</v>
      </c>
      <c r="CI15">
        <v>0</v>
      </c>
      <c r="CJ15">
        <v>312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640</v>
      </c>
      <c r="DB15">
        <v>0</v>
      </c>
      <c r="DC15">
        <v>0</v>
      </c>
      <c r="DD15">
        <v>537</v>
      </c>
      <c r="DE15">
        <v>0</v>
      </c>
      <c r="DF15">
        <v>0</v>
      </c>
      <c r="DG15">
        <v>83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2280</v>
      </c>
      <c r="DN15">
        <v>26</v>
      </c>
      <c r="DO15">
        <v>58</v>
      </c>
      <c r="DP15">
        <v>40</v>
      </c>
      <c r="DQ15">
        <v>372</v>
      </c>
      <c r="DR15">
        <v>1784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3563</v>
      </c>
      <c r="DZ15">
        <v>46</v>
      </c>
      <c r="EA15">
        <v>69</v>
      </c>
      <c r="EB15">
        <v>75</v>
      </c>
      <c r="EC15">
        <v>519</v>
      </c>
      <c r="ED15">
        <v>2853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1283</v>
      </c>
      <c r="EL15">
        <v>19</v>
      </c>
      <c r="EM15">
        <v>11</v>
      </c>
      <c r="EN15">
        <v>35</v>
      </c>
      <c r="EO15">
        <v>148</v>
      </c>
      <c r="EP15">
        <v>1069</v>
      </c>
      <c r="EQ15">
        <v>0</v>
      </c>
      <c r="ER15">
        <v>0</v>
      </c>
      <c r="ES15">
        <v>0</v>
      </c>
      <c r="ET15">
        <v>1172</v>
      </c>
      <c r="EU15">
        <v>0</v>
      </c>
      <c r="EV15">
        <v>0</v>
      </c>
      <c r="EW15">
        <v>0</v>
      </c>
    </row>
    <row r="16" spans="1:153" ht="18" x14ac:dyDescent="0.2">
      <c r="A16" t="s">
        <v>88</v>
      </c>
      <c r="B16" t="s">
        <v>89</v>
      </c>
      <c r="C16" t="s">
        <v>204</v>
      </c>
      <c r="D16" t="s">
        <v>240</v>
      </c>
      <c r="E16" t="s">
        <v>245</v>
      </c>
      <c r="F16">
        <f>F13-G14-G15</f>
        <v>1976</v>
      </c>
      <c r="G16">
        <v>1976</v>
      </c>
      <c r="H16">
        <f>I13-I14-I15</f>
        <v>1973</v>
      </c>
      <c r="I16" s="2">
        <v>1972</v>
      </c>
      <c r="J16">
        <f>K13-K14-K15</f>
        <v>6218</v>
      </c>
      <c r="K16">
        <v>6218</v>
      </c>
      <c r="L16">
        <f>M13-M14-M15</f>
        <v>-3552</v>
      </c>
      <c r="M16">
        <v>-3552</v>
      </c>
      <c r="N16">
        <v>8194</v>
      </c>
      <c r="O16">
        <v>325</v>
      </c>
      <c r="P16">
        <v>13204</v>
      </c>
      <c r="Q16">
        <v>13528</v>
      </c>
      <c r="R16">
        <v>8</v>
      </c>
      <c r="S16">
        <v>75</v>
      </c>
      <c r="T16">
        <v>83</v>
      </c>
      <c r="U16">
        <v>-62</v>
      </c>
      <c r="V16">
        <v>2523</v>
      </c>
      <c r="W16">
        <v>2461</v>
      </c>
      <c r="X16">
        <v>180</v>
      </c>
      <c r="Y16">
        <v>1018</v>
      </c>
      <c r="Z16">
        <v>1198</v>
      </c>
      <c r="AA16">
        <v>268</v>
      </c>
      <c r="AB16">
        <v>1402</v>
      </c>
      <c r="AC16">
        <v>1671</v>
      </c>
      <c r="AD16">
        <v>168</v>
      </c>
      <c r="AE16">
        <v>-190</v>
      </c>
      <c r="AF16">
        <v>-22</v>
      </c>
      <c r="AG16">
        <v>20</v>
      </c>
      <c r="AH16">
        <v>13137</v>
      </c>
      <c r="AI16">
        <v>13157</v>
      </c>
      <c r="AJ16">
        <v>419</v>
      </c>
      <c r="AK16">
        <v>10210</v>
      </c>
      <c r="AL16">
        <v>10629</v>
      </c>
      <c r="AM16">
        <v>336</v>
      </c>
      <c r="AN16">
        <v>1965</v>
      </c>
      <c r="AO16">
        <v>2301</v>
      </c>
      <c r="AP16">
        <v>140</v>
      </c>
      <c r="AQ16">
        <v>2452</v>
      </c>
      <c r="AR16">
        <v>2592</v>
      </c>
      <c r="AS16">
        <v>59</v>
      </c>
      <c r="AT16">
        <v>563</v>
      </c>
      <c r="AU16">
        <v>621</v>
      </c>
      <c r="AV16">
        <v>2083</v>
      </c>
      <c r="AW16">
        <v>5812</v>
      </c>
      <c r="AX16">
        <v>7895</v>
      </c>
      <c r="AY16">
        <v>747</v>
      </c>
      <c r="AZ16">
        <v>12475</v>
      </c>
      <c r="BA16">
        <v>13222</v>
      </c>
      <c r="BB16">
        <v>-61</v>
      </c>
      <c r="BC16">
        <v>37895</v>
      </c>
      <c r="BD16">
        <v>37835</v>
      </c>
      <c r="BE16">
        <v>250</v>
      </c>
      <c r="BF16">
        <v>6841</v>
      </c>
      <c r="BG16">
        <v>7090</v>
      </c>
      <c r="BH16">
        <v>162</v>
      </c>
      <c r="BI16">
        <v>334</v>
      </c>
      <c r="BJ16">
        <v>496</v>
      </c>
      <c r="BK16">
        <v>14</v>
      </c>
      <c r="BL16">
        <v>8177</v>
      </c>
      <c r="BM16">
        <v>8191</v>
      </c>
      <c r="BN16">
        <v>72</v>
      </c>
      <c r="BO16">
        <v>334</v>
      </c>
      <c r="BP16">
        <v>406</v>
      </c>
      <c r="BQ16">
        <v>111</v>
      </c>
      <c r="BR16">
        <v>28306</v>
      </c>
      <c r="BS16">
        <v>28417</v>
      </c>
      <c r="BT16">
        <v>255</v>
      </c>
      <c r="BU16">
        <v>-2393</v>
      </c>
      <c r="BV16">
        <v>-2137</v>
      </c>
      <c r="BW16">
        <v>277</v>
      </c>
      <c r="BX16">
        <v>5516</v>
      </c>
      <c r="BY16">
        <v>5793</v>
      </c>
      <c r="BZ16">
        <v>70</v>
      </c>
      <c r="CA16">
        <v>3069</v>
      </c>
      <c r="CB16">
        <v>3140</v>
      </c>
      <c r="CC16">
        <v>171</v>
      </c>
      <c r="CD16">
        <v>7018</v>
      </c>
      <c r="CE16">
        <v>7189</v>
      </c>
      <c r="CF16">
        <v>19</v>
      </c>
      <c r="CG16">
        <v>26135</v>
      </c>
      <c r="CH16">
        <v>26154</v>
      </c>
      <c r="CI16">
        <v>76</v>
      </c>
      <c r="CJ16">
        <v>6645</v>
      </c>
      <c r="CK16">
        <v>6721</v>
      </c>
      <c r="CL16">
        <v>10676</v>
      </c>
      <c r="CM16">
        <v>7715</v>
      </c>
      <c r="CN16">
        <v>2707</v>
      </c>
      <c r="CO16">
        <v>26316</v>
      </c>
      <c r="CP16">
        <v>15668</v>
      </c>
      <c r="CQ16">
        <v>-164</v>
      </c>
      <c r="CR16">
        <v>35591</v>
      </c>
      <c r="CS16">
        <v>22167</v>
      </c>
      <c r="CT16">
        <v>16082</v>
      </c>
      <c r="CU16">
        <v>29772</v>
      </c>
      <c r="CV16">
        <v>3603</v>
      </c>
      <c r="CW16">
        <v>2105</v>
      </c>
      <c r="CX16">
        <v>-9389</v>
      </c>
      <c r="CY16">
        <v>2841</v>
      </c>
      <c r="CZ16">
        <v>694</v>
      </c>
      <c r="DA16">
        <v>33952</v>
      </c>
      <c r="DB16">
        <v>34646</v>
      </c>
      <c r="DC16">
        <v>221</v>
      </c>
      <c r="DD16">
        <v>73219</v>
      </c>
      <c r="DE16">
        <v>73441</v>
      </c>
      <c r="DF16">
        <v>201</v>
      </c>
      <c r="DG16">
        <v>3966</v>
      </c>
      <c r="DH16">
        <v>4167</v>
      </c>
      <c r="DI16">
        <v>2196</v>
      </c>
      <c r="DJ16">
        <v>1122</v>
      </c>
      <c r="DK16">
        <v>955</v>
      </c>
      <c r="DL16">
        <v>4273</v>
      </c>
      <c r="DM16">
        <v>127823</v>
      </c>
      <c r="DN16">
        <v>345</v>
      </c>
      <c r="DO16">
        <v>1720</v>
      </c>
      <c r="DP16">
        <v>349</v>
      </c>
      <c r="DQ16">
        <v>9735</v>
      </c>
      <c r="DR16">
        <v>115674</v>
      </c>
      <c r="DS16">
        <v>132096</v>
      </c>
      <c r="DT16">
        <v>103448</v>
      </c>
      <c r="DU16">
        <v>2783</v>
      </c>
      <c r="DV16">
        <v>3173</v>
      </c>
      <c r="DW16">
        <v>2049</v>
      </c>
      <c r="DX16">
        <v>8005</v>
      </c>
      <c r="DY16">
        <v>200110</v>
      </c>
      <c r="DZ16">
        <v>1051</v>
      </c>
      <c r="EA16">
        <v>2406</v>
      </c>
      <c r="EB16">
        <v>2498</v>
      </c>
      <c r="EC16">
        <v>14447</v>
      </c>
      <c r="ED16">
        <v>179707</v>
      </c>
      <c r="EE16">
        <v>208116</v>
      </c>
      <c r="EF16">
        <v>15436</v>
      </c>
      <c r="EG16">
        <v>587</v>
      </c>
      <c r="EH16">
        <v>2051</v>
      </c>
      <c r="EI16">
        <v>1095</v>
      </c>
      <c r="EJ16">
        <v>3733</v>
      </c>
      <c r="EK16">
        <v>72287</v>
      </c>
      <c r="EL16">
        <v>706</v>
      </c>
      <c r="EM16">
        <v>686</v>
      </c>
      <c r="EN16">
        <v>2150</v>
      </c>
      <c r="EO16">
        <v>4712</v>
      </c>
      <c r="EP16">
        <v>64033</v>
      </c>
      <c r="EQ16">
        <v>76020</v>
      </c>
      <c r="ER16">
        <v>-840</v>
      </c>
      <c r="ES16">
        <v>274</v>
      </c>
      <c r="ET16">
        <v>13530</v>
      </c>
      <c r="EU16">
        <v>13804</v>
      </c>
      <c r="EV16">
        <v>44691</v>
      </c>
      <c r="EW16">
        <v>18391</v>
      </c>
    </row>
    <row r="17" spans="1:153" ht="18" x14ac:dyDescent="0.2">
      <c r="A17" t="s">
        <v>90</v>
      </c>
      <c r="B17" t="s">
        <v>91</v>
      </c>
      <c r="C17" t="s">
        <v>204</v>
      </c>
      <c r="D17" t="s">
        <v>240</v>
      </c>
      <c r="E17" t="s">
        <v>245</v>
      </c>
      <c r="G17">
        <v>0</v>
      </c>
      <c r="I17" s="2">
        <v>0</v>
      </c>
      <c r="K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</row>
    <row r="18" spans="1:153" ht="18" x14ac:dyDescent="0.2">
      <c r="A18" t="s">
        <v>92</v>
      </c>
      <c r="B18" t="s">
        <v>93</v>
      </c>
      <c r="C18" t="s">
        <v>204</v>
      </c>
      <c r="D18" t="s">
        <v>240</v>
      </c>
      <c r="E18" t="s">
        <v>245</v>
      </c>
      <c r="G18">
        <v>0</v>
      </c>
      <c r="I18" s="2">
        <v>0</v>
      </c>
      <c r="K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</row>
    <row r="19" spans="1:153" ht="18" x14ac:dyDescent="0.2">
      <c r="A19" t="s">
        <v>94</v>
      </c>
      <c r="B19" t="s">
        <v>95</v>
      </c>
      <c r="C19" t="s">
        <v>204</v>
      </c>
      <c r="D19" t="s">
        <v>239</v>
      </c>
      <c r="E19" t="s">
        <v>245</v>
      </c>
      <c r="F19">
        <f>F16+G17+G18</f>
        <v>1976</v>
      </c>
      <c r="G19">
        <v>1976</v>
      </c>
      <c r="H19">
        <f>H16+I17+I18</f>
        <v>1973</v>
      </c>
      <c r="I19" s="2">
        <v>1972</v>
      </c>
      <c r="J19">
        <f>J16+K17+K18</f>
        <v>6218</v>
      </c>
      <c r="K19">
        <v>6218</v>
      </c>
      <c r="L19">
        <f>L16+M17+M18</f>
        <v>-3552</v>
      </c>
      <c r="M19">
        <v>-3552</v>
      </c>
      <c r="N19">
        <v>8194</v>
      </c>
      <c r="O19">
        <v>325</v>
      </c>
      <c r="P19">
        <v>13204</v>
      </c>
      <c r="Q19">
        <v>13528</v>
      </c>
      <c r="R19">
        <v>8</v>
      </c>
      <c r="S19">
        <v>75</v>
      </c>
      <c r="T19">
        <v>83</v>
      </c>
      <c r="U19">
        <v>-62</v>
      </c>
      <c r="V19">
        <v>2523</v>
      </c>
      <c r="W19">
        <v>2461</v>
      </c>
      <c r="X19">
        <v>180</v>
      </c>
      <c r="Y19">
        <v>1018</v>
      </c>
      <c r="Z19">
        <v>1198</v>
      </c>
      <c r="AA19">
        <v>268</v>
      </c>
      <c r="AB19">
        <v>1402</v>
      </c>
      <c r="AC19">
        <v>1671</v>
      </c>
      <c r="AD19">
        <v>168</v>
      </c>
      <c r="AE19">
        <v>-190</v>
      </c>
      <c r="AF19">
        <v>-22</v>
      </c>
      <c r="AG19">
        <v>20</v>
      </c>
      <c r="AH19">
        <v>13137</v>
      </c>
      <c r="AI19">
        <v>13157</v>
      </c>
      <c r="AJ19">
        <v>419</v>
      </c>
      <c r="AK19">
        <v>10210</v>
      </c>
      <c r="AL19">
        <v>10629</v>
      </c>
      <c r="AM19">
        <v>336</v>
      </c>
      <c r="AN19">
        <v>1965</v>
      </c>
      <c r="AO19">
        <v>2301</v>
      </c>
      <c r="AP19">
        <v>140</v>
      </c>
      <c r="AQ19">
        <v>2452</v>
      </c>
      <c r="AR19">
        <v>2592</v>
      </c>
      <c r="AS19">
        <v>59</v>
      </c>
      <c r="AT19">
        <v>563</v>
      </c>
      <c r="AU19">
        <v>621</v>
      </c>
      <c r="AV19">
        <v>2083</v>
      </c>
      <c r="AW19">
        <v>5812</v>
      </c>
      <c r="AX19">
        <v>7895</v>
      </c>
      <c r="AY19">
        <v>747</v>
      </c>
      <c r="AZ19">
        <v>12475</v>
      </c>
      <c r="BA19">
        <v>13222</v>
      </c>
      <c r="BB19">
        <v>-61</v>
      </c>
      <c r="BC19">
        <v>37895</v>
      </c>
      <c r="BD19">
        <v>37835</v>
      </c>
      <c r="BE19">
        <v>250</v>
      </c>
      <c r="BF19">
        <v>6841</v>
      </c>
      <c r="BG19">
        <v>7090</v>
      </c>
      <c r="BH19">
        <v>162</v>
      </c>
      <c r="BI19">
        <v>334</v>
      </c>
      <c r="BJ19">
        <v>496</v>
      </c>
      <c r="BK19">
        <v>14</v>
      </c>
      <c r="BL19">
        <v>8177</v>
      </c>
      <c r="BM19">
        <v>8191</v>
      </c>
      <c r="BN19">
        <v>72</v>
      </c>
      <c r="BO19">
        <v>334</v>
      </c>
      <c r="BP19">
        <v>406</v>
      </c>
      <c r="BQ19">
        <v>111</v>
      </c>
      <c r="BR19">
        <v>28306</v>
      </c>
      <c r="BS19">
        <v>28417</v>
      </c>
      <c r="BT19">
        <v>255</v>
      </c>
      <c r="BU19">
        <v>-2393</v>
      </c>
      <c r="BV19">
        <v>-2137</v>
      </c>
      <c r="BW19">
        <v>277</v>
      </c>
      <c r="BX19">
        <v>5516</v>
      </c>
      <c r="BY19">
        <v>5793</v>
      </c>
      <c r="BZ19">
        <v>70</v>
      </c>
      <c r="CA19">
        <v>3069</v>
      </c>
      <c r="CB19">
        <v>3140</v>
      </c>
      <c r="CC19">
        <v>171</v>
      </c>
      <c r="CD19">
        <v>7018</v>
      </c>
      <c r="CE19">
        <v>7189</v>
      </c>
      <c r="CF19">
        <v>19</v>
      </c>
      <c r="CG19">
        <v>26135</v>
      </c>
      <c r="CH19">
        <v>26154</v>
      </c>
      <c r="CI19">
        <v>76</v>
      </c>
      <c r="CJ19">
        <v>6645</v>
      </c>
      <c r="CK19">
        <v>6721</v>
      </c>
      <c r="CL19">
        <v>10676</v>
      </c>
      <c r="CM19">
        <v>7715</v>
      </c>
      <c r="CN19">
        <v>2707</v>
      </c>
      <c r="CO19">
        <v>26316</v>
      </c>
      <c r="CP19">
        <v>15668</v>
      </c>
      <c r="CQ19">
        <v>-164</v>
      </c>
      <c r="CR19">
        <v>35591</v>
      </c>
      <c r="CS19">
        <v>22167</v>
      </c>
      <c r="CT19">
        <v>16082</v>
      </c>
      <c r="CU19">
        <v>29772</v>
      </c>
      <c r="CV19">
        <v>3603</v>
      </c>
      <c r="CW19">
        <v>2105</v>
      </c>
      <c r="CX19">
        <v>-9389</v>
      </c>
      <c r="CY19">
        <v>2841</v>
      </c>
      <c r="CZ19">
        <v>694</v>
      </c>
      <c r="DA19">
        <v>33952</v>
      </c>
      <c r="DB19">
        <v>34646</v>
      </c>
      <c r="DC19">
        <v>221</v>
      </c>
      <c r="DD19">
        <v>73219</v>
      </c>
      <c r="DE19">
        <v>73441</v>
      </c>
      <c r="DF19">
        <v>201</v>
      </c>
      <c r="DG19">
        <v>3966</v>
      </c>
      <c r="DH19">
        <v>4167</v>
      </c>
      <c r="DI19">
        <v>2196</v>
      </c>
      <c r="DJ19">
        <v>1122</v>
      </c>
      <c r="DK19">
        <v>955</v>
      </c>
      <c r="DL19">
        <v>4273</v>
      </c>
      <c r="DM19">
        <v>127823</v>
      </c>
      <c r="DN19">
        <v>345</v>
      </c>
      <c r="DO19">
        <v>1720</v>
      </c>
      <c r="DP19">
        <v>349</v>
      </c>
      <c r="DQ19">
        <v>9735</v>
      </c>
      <c r="DR19">
        <v>115674</v>
      </c>
      <c r="DS19">
        <v>132096</v>
      </c>
      <c r="DT19">
        <v>103448</v>
      </c>
      <c r="DU19">
        <v>2783</v>
      </c>
      <c r="DV19">
        <v>3173</v>
      </c>
      <c r="DW19">
        <v>2049</v>
      </c>
      <c r="DX19">
        <v>8005</v>
      </c>
      <c r="DY19">
        <v>200110</v>
      </c>
      <c r="DZ19">
        <v>1051</v>
      </c>
      <c r="EA19">
        <v>2406</v>
      </c>
      <c r="EB19">
        <v>2498</v>
      </c>
      <c r="EC19">
        <v>14447</v>
      </c>
      <c r="ED19">
        <v>179707</v>
      </c>
      <c r="EE19">
        <v>208116</v>
      </c>
      <c r="EF19">
        <v>15436</v>
      </c>
      <c r="EG19">
        <v>587</v>
      </c>
      <c r="EH19">
        <v>2051</v>
      </c>
      <c r="EI19">
        <v>1095</v>
      </c>
      <c r="EJ19">
        <v>3733</v>
      </c>
      <c r="EK19">
        <v>72287</v>
      </c>
      <c r="EL19">
        <v>706</v>
      </c>
      <c r="EM19">
        <v>686</v>
      </c>
      <c r="EN19">
        <v>2150</v>
      </c>
      <c r="EO19">
        <v>4712</v>
      </c>
      <c r="EP19">
        <v>64033</v>
      </c>
      <c r="EQ19">
        <v>76020</v>
      </c>
      <c r="ER19">
        <v>-840</v>
      </c>
      <c r="ES19">
        <v>274</v>
      </c>
      <c r="ET19">
        <v>13530</v>
      </c>
      <c r="EU19">
        <v>13804</v>
      </c>
      <c r="EV19">
        <v>44691</v>
      </c>
      <c r="EW19">
        <v>18391</v>
      </c>
    </row>
    <row r="20" spans="1:153" ht="18" x14ac:dyDescent="0.2">
      <c r="A20" t="s">
        <v>96</v>
      </c>
      <c r="B20" t="s">
        <v>97</v>
      </c>
      <c r="C20" t="s">
        <v>204</v>
      </c>
      <c r="D20" t="s">
        <v>239</v>
      </c>
      <c r="E20" t="s">
        <v>244</v>
      </c>
      <c r="G20">
        <v>60</v>
      </c>
      <c r="I20" s="2">
        <v>295</v>
      </c>
      <c r="K20">
        <v>4079</v>
      </c>
      <c r="M20">
        <v>3808</v>
      </c>
      <c r="N20">
        <v>4139</v>
      </c>
      <c r="O20">
        <v>28</v>
      </c>
      <c r="P20">
        <v>9835</v>
      </c>
      <c r="Q20">
        <v>9862</v>
      </c>
      <c r="R20">
        <v>69</v>
      </c>
      <c r="S20">
        <v>97</v>
      </c>
      <c r="T20">
        <v>166</v>
      </c>
      <c r="U20">
        <v>52</v>
      </c>
      <c r="V20">
        <v>1591</v>
      </c>
      <c r="W20">
        <v>1643</v>
      </c>
      <c r="X20">
        <v>105</v>
      </c>
      <c r="Y20">
        <v>534</v>
      </c>
      <c r="Z20">
        <v>639</v>
      </c>
      <c r="AA20">
        <v>146</v>
      </c>
      <c r="AB20">
        <v>1288</v>
      </c>
      <c r="AC20">
        <v>1434</v>
      </c>
      <c r="AD20">
        <v>18</v>
      </c>
      <c r="AE20">
        <v>143</v>
      </c>
      <c r="AF20">
        <v>161</v>
      </c>
      <c r="AG20">
        <v>18</v>
      </c>
      <c r="AH20">
        <v>9058</v>
      </c>
      <c r="AI20">
        <v>9077</v>
      </c>
      <c r="AJ20">
        <v>21</v>
      </c>
      <c r="AK20">
        <v>5269</v>
      </c>
      <c r="AL20">
        <v>5290</v>
      </c>
      <c r="AM20">
        <v>220</v>
      </c>
      <c r="AN20">
        <v>1129</v>
      </c>
      <c r="AO20">
        <v>1350</v>
      </c>
      <c r="AP20">
        <v>184</v>
      </c>
      <c r="AQ20">
        <v>1361</v>
      </c>
      <c r="AR20">
        <v>1545</v>
      </c>
      <c r="AS20">
        <v>5</v>
      </c>
      <c r="AT20">
        <v>40</v>
      </c>
      <c r="AU20">
        <v>44</v>
      </c>
      <c r="AV20">
        <v>965</v>
      </c>
      <c r="AW20">
        <v>1614</v>
      </c>
      <c r="AX20">
        <v>2579</v>
      </c>
      <c r="AY20">
        <v>208</v>
      </c>
      <c r="AZ20">
        <v>2996</v>
      </c>
      <c r="BA20">
        <v>3204</v>
      </c>
      <c r="BB20">
        <v>94</v>
      </c>
      <c r="BC20">
        <v>7943</v>
      </c>
      <c r="BD20">
        <v>8037</v>
      </c>
      <c r="BE20">
        <v>96</v>
      </c>
      <c r="BF20">
        <v>1486</v>
      </c>
      <c r="BG20">
        <v>1583</v>
      </c>
      <c r="BH20">
        <v>11</v>
      </c>
      <c r="BI20">
        <v>217</v>
      </c>
      <c r="BJ20">
        <v>229</v>
      </c>
      <c r="BK20">
        <v>45</v>
      </c>
      <c r="BL20">
        <v>2799</v>
      </c>
      <c r="BM20">
        <v>2844</v>
      </c>
      <c r="BN20">
        <v>9</v>
      </c>
      <c r="BO20">
        <v>411</v>
      </c>
      <c r="BP20">
        <v>419</v>
      </c>
      <c r="BQ20">
        <v>0</v>
      </c>
      <c r="BR20">
        <v>4730</v>
      </c>
      <c r="BS20">
        <v>4730</v>
      </c>
      <c r="BT20">
        <v>19</v>
      </c>
      <c r="BU20">
        <v>2093</v>
      </c>
      <c r="BV20">
        <v>2112</v>
      </c>
      <c r="BW20">
        <v>166</v>
      </c>
      <c r="BX20">
        <v>9066</v>
      </c>
      <c r="BY20">
        <v>9232</v>
      </c>
      <c r="BZ20">
        <v>1</v>
      </c>
      <c r="CA20">
        <v>1347</v>
      </c>
      <c r="CB20">
        <v>1349</v>
      </c>
      <c r="CC20">
        <v>5</v>
      </c>
      <c r="CD20">
        <v>2657</v>
      </c>
      <c r="CE20">
        <v>2662</v>
      </c>
      <c r="CF20">
        <v>5</v>
      </c>
      <c r="CG20">
        <v>13427</v>
      </c>
      <c r="CH20">
        <v>13432</v>
      </c>
      <c r="CI20">
        <v>28</v>
      </c>
      <c r="CJ20">
        <v>3219</v>
      </c>
      <c r="CK20">
        <v>3248</v>
      </c>
      <c r="CL20">
        <v>3859</v>
      </c>
      <c r="CM20">
        <v>2498</v>
      </c>
      <c r="CN20">
        <v>1795</v>
      </c>
      <c r="CO20">
        <v>13416</v>
      </c>
      <c r="CP20">
        <v>6823</v>
      </c>
      <c r="CQ20">
        <v>412</v>
      </c>
      <c r="CR20">
        <v>11271</v>
      </c>
      <c r="CS20">
        <v>1875</v>
      </c>
      <c r="CT20">
        <v>10276</v>
      </c>
      <c r="CU20">
        <v>5665</v>
      </c>
      <c r="CV20">
        <v>3555</v>
      </c>
      <c r="CW20">
        <v>205</v>
      </c>
      <c r="CX20">
        <v>161</v>
      </c>
      <c r="CY20">
        <v>1279</v>
      </c>
      <c r="CZ20">
        <v>44</v>
      </c>
      <c r="DA20">
        <v>20789</v>
      </c>
      <c r="DB20">
        <v>20833</v>
      </c>
      <c r="DC20">
        <v>99</v>
      </c>
      <c r="DD20">
        <v>15331</v>
      </c>
      <c r="DE20">
        <v>15429</v>
      </c>
      <c r="DF20">
        <v>15</v>
      </c>
      <c r="DG20">
        <v>1798</v>
      </c>
      <c r="DH20">
        <v>1812</v>
      </c>
      <c r="DI20">
        <v>1061</v>
      </c>
      <c r="DJ20">
        <v>372</v>
      </c>
      <c r="DK20">
        <v>567</v>
      </c>
      <c r="DL20">
        <v>2000</v>
      </c>
      <c r="DM20">
        <v>41169</v>
      </c>
      <c r="DN20">
        <v>302</v>
      </c>
      <c r="DO20">
        <v>700</v>
      </c>
      <c r="DP20">
        <v>835</v>
      </c>
      <c r="DQ20">
        <v>2804</v>
      </c>
      <c r="DR20">
        <v>36528</v>
      </c>
      <c r="DS20">
        <v>43169</v>
      </c>
      <c r="DT20">
        <v>29498</v>
      </c>
      <c r="DU20">
        <v>1463</v>
      </c>
      <c r="DV20">
        <v>534</v>
      </c>
      <c r="DW20">
        <v>658</v>
      </c>
      <c r="DX20">
        <v>2656</v>
      </c>
      <c r="DY20">
        <v>89179</v>
      </c>
      <c r="DZ20">
        <v>619</v>
      </c>
      <c r="EA20">
        <v>1233</v>
      </c>
      <c r="EB20">
        <v>1872</v>
      </c>
      <c r="EC20">
        <v>4495</v>
      </c>
      <c r="ED20">
        <v>80959</v>
      </c>
      <c r="EE20">
        <v>91834</v>
      </c>
      <c r="EF20">
        <v>5664</v>
      </c>
      <c r="EG20">
        <v>402</v>
      </c>
      <c r="EH20">
        <v>162</v>
      </c>
      <c r="EI20">
        <v>91</v>
      </c>
      <c r="EJ20">
        <v>655</v>
      </c>
      <c r="EK20">
        <v>48009</v>
      </c>
      <c r="EL20">
        <v>317</v>
      </c>
      <c r="EM20">
        <v>533</v>
      </c>
      <c r="EN20">
        <v>1037</v>
      </c>
      <c r="EO20">
        <v>1691</v>
      </c>
      <c r="EP20">
        <v>44431</v>
      </c>
      <c r="EQ20">
        <v>48665</v>
      </c>
      <c r="ER20">
        <v>5200</v>
      </c>
      <c r="ES20">
        <v>272</v>
      </c>
      <c r="ET20">
        <v>13033</v>
      </c>
      <c r="EU20">
        <v>13305</v>
      </c>
      <c r="EV20">
        <v>22033</v>
      </c>
      <c r="EW20">
        <v>6356</v>
      </c>
    </row>
    <row r="21" spans="1:153" ht="18" x14ac:dyDescent="0.2">
      <c r="A21" t="s">
        <v>98</v>
      </c>
      <c r="B21" t="s">
        <v>99</v>
      </c>
      <c r="C21" t="s">
        <v>204</v>
      </c>
      <c r="D21" t="s">
        <v>238</v>
      </c>
      <c r="E21" t="s">
        <v>245</v>
      </c>
      <c r="F21">
        <f>F19-G20</f>
        <v>1916</v>
      </c>
      <c r="G21">
        <v>1917</v>
      </c>
      <c r="H21">
        <f>I19-I20</f>
        <v>1677</v>
      </c>
      <c r="I21" s="2">
        <v>1678</v>
      </c>
      <c r="J21">
        <f>K19-K20</f>
        <v>2139</v>
      </c>
      <c r="K21">
        <v>2139</v>
      </c>
      <c r="L21">
        <f>M19-M20</f>
        <v>-7360</v>
      </c>
      <c r="M21">
        <v>-7359</v>
      </c>
      <c r="N21">
        <v>4056</v>
      </c>
      <c r="O21">
        <v>297</v>
      </c>
      <c r="P21">
        <v>3369</v>
      </c>
      <c r="Q21">
        <v>3666</v>
      </c>
      <c r="R21">
        <v>-61</v>
      </c>
      <c r="S21">
        <v>-22</v>
      </c>
      <c r="T21">
        <v>-83</v>
      </c>
      <c r="U21">
        <v>-114</v>
      </c>
      <c r="V21">
        <v>932</v>
      </c>
      <c r="W21">
        <v>818</v>
      </c>
      <c r="X21">
        <v>75</v>
      </c>
      <c r="Y21">
        <v>484</v>
      </c>
      <c r="Z21">
        <v>559</v>
      </c>
      <c r="AA21">
        <v>122</v>
      </c>
      <c r="AB21">
        <v>115</v>
      </c>
      <c r="AC21">
        <v>237</v>
      </c>
      <c r="AD21">
        <v>150</v>
      </c>
      <c r="AE21">
        <v>-333</v>
      </c>
      <c r="AF21">
        <v>-183</v>
      </c>
      <c r="AG21">
        <v>2</v>
      </c>
      <c r="AH21">
        <v>4078</v>
      </c>
      <c r="AI21">
        <v>4080</v>
      </c>
      <c r="AJ21">
        <v>399</v>
      </c>
      <c r="AK21">
        <v>4940</v>
      </c>
      <c r="AL21">
        <v>5339</v>
      </c>
      <c r="AM21">
        <v>115</v>
      </c>
      <c r="AN21">
        <v>836</v>
      </c>
      <c r="AO21">
        <v>951</v>
      </c>
      <c r="AP21">
        <v>-44</v>
      </c>
      <c r="AQ21">
        <v>1091</v>
      </c>
      <c r="AR21">
        <v>1047</v>
      </c>
      <c r="AS21">
        <v>54</v>
      </c>
      <c r="AT21">
        <v>523</v>
      </c>
      <c r="AU21">
        <v>577</v>
      </c>
      <c r="AV21">
        <v>1117</v>
      </c>
      <c r="AW21">
        <v>4198</v>
      </c>
      <c r="AX21">
        <v>5315</v>
      </c>
      <c r="AY21">
        <v>539</v>
      </c>
      <c r="AZ21">
        <v>9479</v>
      </c>
      <c r="BA21">
        <v>10018</v>
      </c>
      <c r="BB21">
        <v>-154</v>
      </c>
      <c r="BC21">
        <v>29952</v>
      </c>
      <c r="BD21">
        <v>29798</v>
      </c>
      <c r="BE21">
        <v>153</v>
      </c>
      <c r="BF21">
        <v>5355</v>
      </c>
      <c r="BG21">
        <v>5508</v>
      </c>
      <c r="BH21">
        <v>150</v>
      </c>
      <c r="BI21">
        <v>117</v>
      </c>
      <c r="BJ21">
        <v>267</v>
      </c>
      <c r="BK21">
        <v>-30</v>
      </c>
      <c r="BL21">
        <v>5377</v>
      </c>
      <c r="BM21">
        <v>5347</v>
      </c>
      <c r="BN21">
        <v>63</v>
      </c>
      <c r="BO21">
        <v>-76</v>
      </c>
      <c r="BP21">
        <v>-13</v>
      </c>
      <c r="BQ21">
        <v>111</v>
      </c>
      <c r="BR21">
        <v>23575</v>
      </c>
      <c r="BS21">
        <v>23686</v>
      </c>
      <c r="BT21">
        <v>236</v>
      </c>
      <c r="BU21">
        <v>-4485</v>
      </c>
      <c r="BV21">
        <v>-4249</v>
      </c>
      <c r="BW21">
        <v>110</v>
      </c>
      <c r="BX21">
        <v>-3550</v>
      </c>
      <c r="BY21">
        <v>-3439</v>
      </c>
      <c r="BZ21">
        <v>69</v>
      </c>
      <c r="CA21">
        <v>1722</v>
      </c>
      <c r="CB21">
        <v>1791</v>
      </c>
      <c r="CC21">
        <v>166</v>
      </c>
      <c r="CD21">
        <v>4361</v>
      </c>
      <c r="CE21">
        <v>4527</v>
      </c>
      <c r="CF21">
        <v>14</v>
      </c>
      <c r="CG21">
        <v>12708</v>
      </c>
      <c r="CH21">
        <v>12722</v>
      </c>
      <c r="CI21">
        <v>47</v>
      </c>
      <c r="CJ21">
        <v>3426</v>
      </c>
      <c r="CK21">
        <v>3473</v>
      </c>
      <c r="CL21">
        <v>6817</v>
      </c>
      <c r="CM21">
        <v>5218</v>
      </c>
      <c r="CN21">
        <v>912</v>
      </c>
      <c r="CO21">
        <v>12900</v>
      </c>
      <c r="CP21">
        <v>8845</v>
      </c>
      <c r="CQ21">
        <v>-576</v>
      </c>
      <c r="CR21">
        <v>24320</v>
      </c>
      <c r="CS21">
        <v>20292</v>
      </c>
      <c r="CT21">
        <v>5806</v>
      </c>
      <c r="CU21">
        <v>24107</v>
      </c>
      <c r="CV21">
        <v>48</v>
      </c>
      <c r="CW21">
        <v>1900</v>
      </c>
      <c r="CX21">
        <v>-9549</v>
      </c>
      <c r="CY21">
        <v>1562</v>
      </c>
      <c r="CZ21">
        <v>649</v>
      </c>
      <c r="DA21">
        <v>13163</v>
      </c>
      <c r="DB21">
        <v>13813</v>
      </c>
      <c r="DC21">
        <v>123</v>
      </c>
      <c r="DD21">
        <v>57889</v>
      </c>
      <c r="DE21">
        <v>58012</v>
      </c>
      <c r="DF21">
        <v>186</v>
      </c>
      <c r="DG21">
        <v>2169</v>
      </c>
      <c r="DH21">
        <v>2355</v>
      </c>
      <c r="DI21">
        <v>1135</v>
      </c>
      <c r="DJ21">
        <v>750</v>
      </c>
      <c r="DK21">
        <v>388</v>
      </c>
      <c r="DL21">
        <v>2272</v>
      </c>
      <c r="DM21">
        <v>86654</v>
      </c>
      <c r="DN21">
        <v>43</v>
      </c>
      <c r="DO21">
        <v>1020</v>
      </c>
      <c r="DP21">
        <v>-487</v>
      </c>
      <c r="DQ21">
        <v>6931</v>
      </c>
      <c r="DR21">
        <v>79147</v>
      </c>
      <c r="DS21">
        <v>88926</v>
      </c>
      <c r="DT21">
        <v>73949</v>
      </c>
      <c r="DU21">
        <v>1320</v>
      </c>
      <c r="DV21">
        <v>2639</v>
      </c>
      <c r="DW21">
        <v>1391</v>
      </c>
      <c r="DX21">
        <v>5350</v>
      </c>
      <c r="DY21">
        <v>110932</v>
      </c>
      <c r="DZ21">
        <v>432</v>
      </c>
      <c r="EA21">
        <v>1174</v>
      </c>
      <c r="EB21">
        <v>626</v>
      </c>
      <c r="EC21">
        <v>9952</v>
      </c>
      <c r="ED21">
        <v>98748</v>
      </c>
      <c r="EE21">
        <v>116281</v>
      </c>
      <c r="EF21">
        <v>9772</v>
      </c>
      <c r="EG21">
        <v>185</v>
      </c>
      <c r="EH21">
        <v>1889</v>
      </c>
      <c r="EI21">
        <v>1004</v>
      </c>
      <c r="EJ21">
        <v>3077</v>
      </c>
      <c r="EK21">
        <v>24278</v>
      </c>
      <c r="EL21">
        <v>389</v>
      </c>
      <c r="EM21">
        <v>153</v>
      </c>
      <c r="EN21">
        <v>1113</v>
      </c>
      <c r="EO21">
        <v>3021</v>
      </c>
      <c r="EP21">
        <v>19601</v>
      </c>
      <c r="EQ21">
        <v>27355</v>
      </c>
      <c r="ER21">
        <v>-6040</v>
      </c>
      <c r="ES21">
        <v>2</v>
      </c>
      <c r="ET21">
        <v>497</v>
      </c>
      <c r="EU21">
        <v>499</v>
      </c>
      <c r="EV21">
        <v>22657</v>
      </c>
      <c r="EW21">
        <v>12035</v>
      </c>
    </row>
    <row r="22" spans="1:153" ht="18" x14ac:dyDescent="0.2">
      <c r="A22" t="s">
        <v>100</v>
      </c>
      <c r="B22" t="s">
        <v>101</v>
      </c>
      <c r="C22" t="s">
        <v>224</v>
      </c>
      <c r="D22" t="s">
        <v>238</v>
      </c>
      <c r="E22" t="s">
        <v>245</v>
      </c>
      <c r="G22">
        <v>13881</v>
      </c>
      <c r="I22" s="2">
        <v>14275</v>
      </c>
      <c r="K22">
        <v>348617</v>
      </c>
      <c r="M22">
        <v>342012</v>
      </c>
      <c r="N22">
        <v>362498</v>
      </c>
      <c r="O22">
        <v>2167</v>
      </c>
      <c r="P22">
        <v>329042</v>
      </c>
      <c r="Q22">
        <v>331209</v>
      </c>
      <c r="R22">
        <v>1281</v>
      </c>
      <c r="S22">
        <v>15886</v>
      </c>
      <c r="T22">
        <v>17166</v>
      </c>
      <c r="U22">
        <v>907</v>
      </c>
      <c r="V22">
        <v>23381</v>
      </c>
      <c r="W22">
        <v>24288</v>
      </c>
      <c r="X22">
        <v>5283</v>
      </c>
      <c r="Y22">
        <v>40468</v>
      </c>
      <c r="Z22">
        <v>45752</v>
      </c>
      <c r="AA22">
        <v>5512</v>
      </c>
      <c r="AB22">
        <v>36899</v>
      </c>
      <c r="AC22">
        <v>42411</v>
      </c>
      <c r="AD22">
        <v>2231</v>
      </c>
      <c r="AE22">
        <v>-6603</v>
      </c>
      <c r="AF22">
        <v>-4372</v>
      </c>
      <c r="AG22">
        <v>87</v>
      </c>
      <c r="AH22">
        <v>877676</v>
      </c>
      <c r="AI22">
        <v>877762</v>
      </c>
      <c r="AJ22">
        <v>4406</v>
      </c>
      <c r="AK22">
        <v>277947</v>
      </c>
      <c r="AL22">
        <v>282353</v>
      </c>
      <c r="AM22">
        <v>7590</v>
      </c>
      <c r="AN22">
        <v>78534</v>
      </c>
      <c r="AO22">
        <v>86124</v>
      </c>
      <c r="AP22">
        <v>7751</v>
      </c>
      <c r="AQ22">
        <v>57407</v>
      </c>
      <c r="AR22">
        <v>65159</v>
      </c>
      <c r="AS22">
        <v>1023</v>
      </c>
      <c r="AT22">
        <v>234</v>
      </c>
      <c r="AU22">
        <v>1257</v>
      </c>
      <c r="AV22">
        <v>31694</v>
      </c>
      <c r="AW22">
        <v>161020</v>
      </c>
      <c r="AX22">
        <v>192713</v>
      </c>
      <c r="AY22">
        <v>16801</v>
      </c>
      <c r="AZ22">
        <v>347863</v>
      </c>
      <c r="BA22">
        <v>364663</v>
      </c>
      <c r="BB22">
        <v>-4792</v>
      </c>
      <c r="BC22">
        <v>407202</v>
      </c>
      <c r="BD22">
        <v>402410</v>
      </c>
      <c r="BE22">
        <v>1522</v>
      </c>
      <c r="BF22">
        <v>183718</v>
      </c>
      <c r="BG22">
        <v>185240</v>
      </c>
      <c r="BH22">
        <v>2542</v>
      </c>
      <c r="BI22">
        <v>15607</v>
      </c>
      <c r="BJ22">
        <v>18148</v>
      </c>
      <c r="BK22">
        <v>-1387</v>
      </c>
      <c r="BL22">
        <v>250652</v>
      </c>
      <c r="BM22">
        <v>249265</v>
      </c>
      <c r="BN22">
        <v>3063</v>
      </c>
      <c r="BO22">
        <v>75983</v>
      </c>
      <c r="BP22">
        <v>79046</v>
      </c>
      <c r="BQ22">
        <v>-242</v>
      </c>
      <c r="BR22">
        <v>-1224</v>
      </c>
      <c r="BS22">
        <v>-1466</v>
      </c>
      <c r="BT22">
        <v>2455</v>
      </c>
      <c r="BU22">
        <v>86924</v>
      </c>
      <c r="BV22">
        <v>89379</v>
      </c>
      <c r="BW22">
        <v>409</v>
      </c>
      <c r="BX22">
        <v>232748</v>
      </c>
      <c r="BY22">
        <v>233157</v>
      </c>
      <c r="BZ22">
        <v>1709</v>
      </c>
      <c r="CA22">
        <v>34693</v>
      </c>
      <c r="CB22">
        <v>36402</v>
      </c>
      <c r="CC22">
        <v>224</v>
      </c>
      <c r="CD22">
        <v>-55593</v>
      </c>
      <c r="CE22">
        <v>-55369</v>
      </c>
      <c r="CF22">
        <v>-8414</v>
      </c>
      <c r="CG22">
        <v>375908</v>
      </c>
      <c r="CH22">
        <v>367493</v>
      </c>
      <c r="CI22">
        <v>1442</v>
      </c>
      <c r="CJ22">
        <v>154727</v>
      </c>
      <c r="CK22">
        <v>156169</v>
      </c>
      <c r="CL22">
        <v>288502</v>
      </c>
      <c r="CM22">
        <v>204977</v>
      </c>
      <c r="CN22">
        <v>87734</v>
      </c>
      <c r="CO22">
        <v>352988</v>
      </c>
      <c r="CP22">
        <v>368271</v>
      </c>
      <c r="CQ22">
        <v>-12434</v>
      </c>
      <c r="CR22">
        <v>233951</v>
      </c>
      <c r="CS22">
        <v>160374</v>
      </c>
      <c r="CT22">
        <v>144733</v>
      </c>
      <c r="CU22">
        <v>193883</v>
      </c>
      <c r="CV22">
        <v>41732</v>
      </c>
      <c r="CW22">
        <v>22887</v>
      </c>
      <c r="CX22">
        <v>-310797</v>
      </c>
      <c r="CY22">
        <v>-8708</v>
      </c>
      <c r="CZ22">
        <v>-1554</v>
      </c>
      <c r="DA22">
        <v>740778</v>
      </c>
      <c r="DB22">
        <v>739225</v>
      </c>
      <c r="DC22">
        <v>-4810</v>
      </c>
      <c r="DD22">
        <v>350385</v>
      </c>
      <c r="DE22">
        <v>345575</v>
      </c>
      <c r="DF22">
        <v>5795</v>
      </c>
      <c r="DG22">
        <v>110910</v>
      </c>
      <c r="DH22">
        <v>116705</v>
      </c>
      <c r="DI22">
        <v>21733</v>
      </c>
      <c r="DJ22">
        <v>23198</v>
      </c>
      <c r="DK22">
        <v>24419</v>
      </c>
      <c r="DL22">
        <v>69350</v>
      </c>
      <c r="DM22">
        <v>1964115</v>
      </c>
      <c r="DN22">
        <v>21121</v>
      </c>
      <c r="DO22">
        <v>17007</v>
      </c>
      <c r="DP22">
        <v>21815</v>
      </c>
      <c r="DQ22">
        <v>125750</v>
      </c>
      <c r="DR22">
        <v>1778422</v>
      </c>
      <c r="DS22">
        <v>2033465</v>
      </c>
      <c r="DT22">
        <v>720507</v>
      </c>
      <c r="DU22">
        <v>27123</v>
      </c>
      <c r="DV22">
        <v>39889</v>
      </c>
      <c r="DW22">
        <v>34441</v>
      </c>
      <c r="DX22">
        <v>101453</v>
      </c>
      <c r="DY22">
        <v>4408325</v>
      </c>
      <c r="DZ22">
        <v>32079</v>
      </c>
      <c r="EA22">
        <v>27378</v>
      </c>
      <c r="EB22">
        <v>54114</v>
      </c>
      <c r="EC22">
        <v>235736</v>
      </c>
      <c r="ED22">
        <v>4059016</v>
      </c>
      <c r="EE22">
        <v>4509777</v>
      </c>
      <c r="EF22">
        <v>203038</v>
      </c>
      <c r="EG22">
        <v>5389</v>
      </c>
      <c r="EH22">
        <v>16691</v>
      </c>
      <c r="EI22">
        <v>10022</v>
      </c>
      <c r="EJ22">
        <v>32102</v>
      </c>
      <c r="EK22">
        <v>2444210</v>
      </c>
      <c r="EL22">
        <v>10958</v>
      </c>
      <c r="EM22">
        <v>10371</v>
      </c>
      <c r="EN22">
        <v>32300</v>
      </c>
      <c r="EO22">
        <v>109987</v>
      </c>
      <c r="EP22">
        <v>2280594</v>
      </c>
      <c r="EQ22">
        <v>2476312</v>
      </c>
      <c r="ER22">
        <v>-254886</v>
      </c>
      <c r="ES22">
        <v>4160</v>
      </c>
      <c r="ET22">
        <v>446085</v>
      </c>
      <c r="EU22">
        <v>450245</v>
      </c>
      <c r="EV22">
        <v>808992</v>
      </c>
      <c r="EW22">
        <v>493479</v>
      </c>
    </row>
    <row r="23" spans="1:153" ht="18" x14ac:dyDescent="0.2">
      <c r="A23" t="s">
        <v>102</v>
      </c>
      <c r="B23" t="s">
        <v>103</v>
      </c>
      <c r="C23" t="s">
        <v>224</v>
      </c>
      <c r="D23" t="s">
        <v>238</v>
      </c>
      <c r="E23" t="s">
        <v>245</v>
      </c>
      <c r="G23">
        <v>-396</v>
      </c>
      <c r="I23" s="2">
        <v>-88</v>
      </c>
      <c r="K23">
        <v>-2753</v>
      </c>
      <c r="M23">
        <v>-749</v>
      </c>
      <c r="N23">
        <v>-3149</v>
      </c>
      <c r="O23">
        <v>-336</v>
      </c>
      <c r="P23">
        <v>-1218</v>
      </c>
      <c r="Q23">
        <v>-1554</v>
      </c>
      <c r="R23">
        <v>-22</v>
      </c>
      <c r="S23">
        <v>-28</v>
      </c>
      <c r="T23">
        <v>-50</v>
      </c>
      <c r="U23">
        <v>-22</v>
      </c>
      <c r="V23">
        <v>-631</v>
      </c>
      <c r="W23">
        <v>-653</v>
      </c>
      <c r="X23">
        <v>23</v>
      </c>
      <c r="Y23">
        <v>-146</v>
      </c>
      <c r="Z23">
        <v>-124</v>
      </c>
      <c r="AA23">
        <v>-79</v>
      </c>
      <c r="AB23">
        <v>333</v>
      </c>
      <c r="AC23">
        <v>254</v>
      </c>
      <c r="AD23">
        <v>-88</v>
      </c>
      <c r="AE23">
        <v>55</v>
      </c>
      <c r="AF23">
        <v>-33</v>
      </c>
      <c r="AG23">
        <v>-24</v>
      </c>
      <c r="AH23">
        <v>-199</v>
      </c>
      <c r="AI23">
        <v>-223</v>
      </c>
      <c r="AJ23">
        <v>-167</v>
      </c>
      <c r="AK23">
        <v>-305</v>
      </c>
      <c r="AL23">
        <v>-472</v>
      </c>
      <c r="AM23">
        <v>-56</v>
      </c>
      <c r="AN23">
        <v>-314</v>
      </c>
      <c r="AO23">
        <v>-370</v>
      </c>
      <c r="AP23">
        <v>-119</v>
      </c>
      <c r="AQ23">
        <v>-447</v>
      </c>
      <c r="AR23">
        <v>-566</v>
      </c>
      <c r="AS23">
        <v>15</v>
      </c>
      <c r="AT23">
        <v>-220</v>
      </c>
      <c r="AU23">
        <v>-205</v>
      </c>
      <c r="AV23">
        <v>-440</v>
      </c>
      <c r="AW23">
        <v>-867</v>
      </c>
      <c r="AX23">
        <v>-1307</v>
      </c>
      <c r="AY23">
        <v>-328</v>
      </c>
      <c r="AZ23">
        <v>106</v>
      </c>
      <c r="BA23">
        <v>-222</v>
      </c>
      <c r="BB23">
        <v>-9</v>
      </c>
      <c r="BC23">
        <v>-10268</v>
      </c>
      <c r="BD23">
        <v>-10277</v>
      </c>
      <c r="BE23">
        <v>-40</v>
      </c>
      <c r="BF23">
        <v>-1246</v>
      </c>
      <c r="BG23">
        <v>-1286</v>
      </c>
      <c r="BH23">
        <v>-142</v>
      </c>
      <c r="BI23">
        <v>-189</v>
      </c>
      <c r="BJ23">
        <v>-331</v>
      </c>
      <c r="BK23">
        <v>-271</v>
      </c>
      <c r="BL23">
        <v>-837</v>
      </c>
      <c r="BM23">
        <v>-1108</v>
      </c>
      <c r="BN23">
        <v>170</v>
      </c>
      <c r="BO23">
        <v>-509</v>
      </c>
      <c r="BP23">
        <v>-339</v>
      </c>
      <c r="BQ23">
        <v>-107</v>
      </c>
      <c r="BR23">
        <v>-35114</v>
      </c>
      <c r="BS23">
        <v>-35222</v>
      </c>
      <c r="BT23">
        <v>-178</v>
      </c>
      <c r="BU23">
        <v>502</v>
      </c>
      <c r="BV23">
        <v>323</v>
      </c>
      <c r="BW23">
        <v>83</v>
      </c>
      <c r="BX23">
        <v>-2753</v>
      </c>
      <c r="BY23">
        <v>-2670</v>
      </c>
      <c r="BZ23">
        <v>91</v>
      </c>
      <c r="CA23">
        <v>-962</v>
      </c>
      <c r="CB23">
        <v>-872</v>
      </c>
      <c r="CC23">
        <v>-21</v>
      </c>
      <c r="CD23">
        <v>-2938</v>
      </c>
      <c r="CE23">
        <v>-2958</v>
      </c>
      <c r="CF23">
        <v>0</v>
      </c>
      <c r="CG23">
        <v>-2140</v>
      </c>
      <c r="CH23">
        <v>-2141</v>
      </c>
      <c r="CI23">
        <v>-79</v>
      </c>
      <c r="CJ23">
        <v>-1849</v>
      </c>
      <c r="CK23">
        <v>-1928</v>
      </c>
      <c r="CL23">
        <v>-1950</v>
      </c>
      <c r="CM23">
        <v>-978</v>
      </c>
      <c r="CN23">
        <v>370</v>
      </c>
      <c r="CO23">
        <v>-8714</v>
      </c>
      <c r="CP23">
        <v>-5292</v>
      </c>
      <c r="CQ23">
        <v>2006</v>
      </c>
      <c r="CR23">
        <v>-7554</v>
      </c>
      <c r="CS23">
        <v>-18895</v>
      </c>
      <c r="CT23">
        <v>-1466</v>
      </c>
      <c r="CU23">
        <v>-14861</v>
      </c>
      <c r="CV23">
        <v>-1875</v>
      </c>
      <c r="CW23">
        <v>-1795</v>
      </c>
      <c r="CX23">
        <v>-2211</v>
      </c>
      <c r="CY23">
        <v>-2063</v>
      </c>
      <c r="CZ23">
        <v>-345</v>
      </c>
      <c r="DA23">
        <v>-1944</v>
      </c>
      <c r="DB23">
        <v>-2290</v>
      </c>
      <c r="DC23">
        <v>-137</v>
      </c>
      <c r="DD23">
        <v>-48320</v>
      </c>
      <c r="DE23">
        <v>-48456</v>
      </c>
      <c r="DF23">
        <v>276</v>
      </c>
      <c r="DG23">
        <v>-1691</v>
      </c>
      <c r="DH23">
        <v>-1416</v>
      </c>
      <c r="DI23">
        <v>-704</v>
      </c>
      <c r="DJ23">
        <v>-660</v>
      </c>
      <c r="DK23">
        <v>162</v>
      </c>
      <c r="DL23">
        <v>-1202</v>
      </c>
      <c r="DM23">
        <v>-61191</v>
      </c>
      <c r="DN23">
        <v>-1003</v>
      </c>
      <c r="DO23">
        <v>-707</v>
      </c>
      <c r="DP23">
        <v>-50</v>
      </c>
      <c r="DQ23">
        <v>-3027</v>
      </c>
      <c r="DR23">
        <v>-56405</v>
      </c>
      <c r="DS23">
        <v>-62393</v>
      </c>
      <c r="DT23">
        <v>-40770</v>
      </c>
      <c r="DU23">
        <v>-1086</v>
      </c>
      <c r="DV23">
        <v>-1031</v>
      </c>
      <c r="DW23">
        <v>-454</v>
      </c>
      <c r="DX23">
        <v>-2571</v>
      </c>
      <c r="DY23">
        <v>-67889</v>
      </c>
      <c r="DZ23">
        <v>-1316</v>
      </c>
      <c r="EA23">
        <v>-475</v>
      </c>
      <c r="EB23">
        <v>-743</v>
      </c>
      <c r="EC23">
        <v>-3594</v>
      </c>
      <c r="ED23">
        <v>-61762</v>
      </c>
      <c r="EE23">
        <v>-70461</v>
      </c>
      <c r="EF23">
        <v>-684</v>
      </c>
      <c r="EG23">
        <v>-383</v>
      </c>
      <c r="EH23">
        <v>-371</v>
      </c>
      <c r="EI23">
        <v>-616</v>
      </c>
      <c r="EJ23">
        <v>-1369</v>
      </c>
      <c r="EK23">
        <v>-6698</v>
      </c>
      <c r="EL23">
        <v>-314</v>
      </c>
      <c r="EM23">
        <v>233</v>
      </c>
      <c r="EN23">
        <v>-693</v>
      </c>
      <c r="EO23">
        <v>-567</v>
      </c>
      <c r="EP23">
        <v>-5357</v>
      </c>
      <c r="EQ23">
        <v>-8067</v>
      </c>
      <c r="ER23">
        <v>-7943</v>
      </c>
      <c r="ES23">
        <v>-24</v>
      </c>
      <c r="ET23">
        <v>-7554</v>
      </c>
      <c r="EU23">
        <v>-7578</v>
      </c>
      <c r="EV23">
        <v>-13636</v>
      </c>
      <c r="EW23">
        <v>-2928</v>
      </c>
    </row>
    <row r="24" spans="1:153" ht="18" x14ac:dyDescent="0.2">
      <c r="A24" t="s">
        <v>104</v>
      </c>
      <c r="B24" t="s">
        <v>105</v>
      </c>
      <c r="C24" t="s">
        <v>225</v>
      </c>
      <c r="D24" t="s">
        <v>237</v>
      </c>
      <c r="F24">
        <f>F21+G22+G23</f>
        <v>15401</v>
      </c>
      <c r="G24">
        <v>15402</v>
      </c>
      <c r="H24">
        <f>I21+I22+I23</f>
        <v>15865</v>
      </c>
      <c r="I24" s="2">
        <v>15865</v>
      </c>
      <c r="J24">
        <f>K21+K22+K23</f>
        <v>348003</v>
      </c>
      <c r="K24">
        <v>348003</v>
      </c>
      <c r="L24">
        <f>M21+M22+M23</f>
        <v>333904</v>
      </c>
      <c r="M24">
        <v>333904</v>
      </c>
      <c r="N24">
        <v>363405</v>
      </c>
      <c r="O24">
        <v>2128</v>
      </c>
      <c r="P24">
        <v>331193</v>
      </c>
      <c r="Q24">
        <v>333321</v>
      </c>
      <c r="R24">
        <v>1198</v>
      </c>
      <c r="S24">
        <v>15836</v>
      </c>
      <c r="T24">
        <v>17034</v>
      </c>
      <c r="U24">
        <v>770</v>
      </c>
      <c r="V24">
        <v>23683</v>
      </c>
      <c r="W24">
        <v>24453</v>
      </c>
      <c r="X24">
        <v>5381</v>
      </c>
      <c r="Y24">
        <v>40807</v>
      </c>
      <c r="Z24">
        <v>46187</v>
      </c>
      <c r="AA24">
        <v>5555</v>
      </c>
      <c r="AB24">
        <v>37347</v>
      </c>
      <c r="AC24">
        <v>42902</v>
      </c>
      <c r="AD24">
        <v>2293</v>
      </c>
      <c r="AE24">
        <v>-6881</v>
      </c>
      <c r="AF24">
        <v>-4588</v>
      </c>
      <c r="AG24">
        <v>64</v>
      </c>
      <c r="AH24">
        <v>881555</v>
      </c>
      <c r="AI24">
        <v>881619</v>
      </c>
      <c r="AJ24">
        <v>4638</v>
      </c>
      <c r="AK24">
        <v>282582</v>
      </c>
      <c r="AL24">
        <v>287220</v>
      </c>
      <c r="AM24">
        <v>7650</v>
      </c>
      <c r="AN24">
        <v>79056</v>
      </c>
      <c r="AO24">
        <v>86706</v>
      </c>
      <c r="AP24">
        <v>7589</v>
      </c>
      <c r="AQ24">
        <v>58051</v>
      </c>
      <c r="AR24">
        <v>65640</v>
      </c>
      <c r="AS24">
        <v>1093</v>
      </c>
      <c r="AT24">
        <v>537</v>
      </c>
      <c r="AU24">
        <v>1629</v>
      </c>
      <c r="AV24">
        <v>32371</v>
      </c>
      <c r="AW24">
        <v>164350</v>
      </c>
      <c r="AX24">
        <v>196721</v>
      </c>
      <c r="AY24">
        <v>17012</v>
      </c>
      <c r="AZ24">
        <v>357448</v>
      </c>
      <c r="BA24">
        <v>374459</v>
      </c>
      <c r="BB24">
        <v>-4955</v>
      </c>
      <c r="BC24">
        <v>426887</v>
      </c>
      <c r="BD24">
        <v>421932</v>
      </c>
      <c r="BE24">
        <v>1635</v>
      </c>
      <c r="BF24">
        <v>187827</v>
      </c>
      <c r="BG24">
        <v>189462</v>
      </c>
      <c r="BH24">
        <v>2550</v>
      </c>
      <c r="BI24">
        <v>15534</v>
      </c>
      <c r="BJ24">
        <v>18084</v>
      </c>
      <c r="BK24">
        <v>-1688</v>
      </c>
      <c r="BL24">
        <v>255192</v>
      </c>
      <c r="BM24">
        <v>253504</v>
      </c>
      <c r="BN24">
        <v>3296</v>
      </c>
      <c r="BO24">
        <v>75398</v>
      </c>
      <c r="BP24">
        <v>78694</v>
      </c>
      <c r="BQ24">
        <v>-238</v>
      </c>
      <c r="BR24">
        <v>-12763</v>
      </c>
      <c r="BS24">
        <v>-13001</v>
      </c>
      <c r="BT24">
        <v>2513</v>
      </c>
      <c r="BU24">
        <v>82940</v>
      </c>
      <c r="BV24">
        <v>85453</v>
      </c>
      <c r="BW24">
        <v>603</v>
      </c>
      <c r="BX24">
        <v>226446</v>
      </c>
      <c r="BY24">
        <v>227048</v>
      </c>
      <c r="BZ24">
        <v>1869</v>
      </c>
      <c r="CA24">
        <v>35453</v>
      </c>
      <c r="CB24">
        <v>37321</v>
      </c>
      <c r="CC24">
        <v>370</v>
      </c>
      <c r="CD24">
        <v>-54170</v>
      </c>
      <c r="CE24">
        <v>-53800</v>
      </c>
      <c r="CF24">
        <v>-8400</v>
      </c>
      <c r="CG24">
        <v>386475</v>
      </c>
      <c r="CH24">
        <v>378075</v>
      </c>
      <c r="CI24">
        <v>1410</v>
      </c>
      <c r="CJ24">
        <v>156303</v>
      </c>
      <c r="CK24">
        <v>157713</v>
      </c>
      <c r="CL24">
        <v>293368</v>
      </c>
      <c r="CM24">
        <v>209217</v>
      </c>
      <c r="CN24">
        <v>89016</v>
      </c>
      <c r="CO24">
        <v>357174</v>
      </c>
      <c r="CP24">
        <v>371824</v>
      </c>
      <c r="CQ24">
        <v>-11004</v>
      </c>
      <c r="CR24">
        <v>250718</v>
      </c>
      <c r="CS24">
        <v>161771</v>
      </c>
      <c r="CT24">
        <v>149073</v>
      </c>
      <c r="CU24">
        <v>203128</v>
      </c>
      <c r="CV24">
        <v>39905</v>
      </c>
      <c r="CW24">
        <v>22992</v>
      </c>
      <c r="CX24">
        <v>-322557</v>
      </c>
      <c r="CY24">
        <v>-9209</v>
      </c>
      <c r="CZ24">
        <v>-1250</v>
      </c>
      <c r="DA24">
        <v>751997</v>
      </c>
      <c r="DB24">
        <v>750747</v>
      </c>
      <c r="DC24">
        <v>-4824</v>
      </c>
      <c r="DD24">
        <v>359955</v>
      </c>
      <c r="DE24">
        <v>355131</v>
      </c>
      <c r="DF24">
        <v>6257</v>
      </c>
      <c r="DG24">
        <v>111387</v>
      </c>
      <c r="DH24">
        <v>117644</v>
      </c>
      <c r="DI24">
        <v>22164</v>
      </c>
      <c r="DJ24">
        <v>23288</v>
      </c>
      <c r="DK24">
        <v>24969</v>
      </c>
      <c r="DL24">
        <v>70421</v>
      </c>
      <c r="DM24">
        <v>1989578</v>
      </c>
      <c r="DN24">
        <v>20162</v>
      </c>
      <c r="DO24">
        <v>17320</v>
      </c>
      <c r="DP24">
        <v>21278</v>
      </c>
      <c r="DQ24">
        <v>129654</v>
      </c>
      <c r="DR24">
        <v>1801163</v>
      </c>
      <c r="DS24">
        <v>2059999</v>
      </c>
      <c r="DT24">
        <v>753687</v>
      </c>
      <c r="DU24">
        <v>27356</v>
      </c>
      <c r="DV24">
        <v>41496</v>
      </c>
      <c r="DW24">
        <v>35379</v>
      </c>
      <c r="DX24">
        <v>104231</v>
      </c>
      <c r="DY24">
        <v>4451367</v>
      </c>
      <c r="DZ24">
        <v>31195</v>
      </c>
      <c r="EA24">
        <v>28077</v>
      </c>
      <c r="EB24">
        <v>53998</v>
      </c>
      <c r="EC24">
        <v>242095</v>
      </c>
      <c r="ED24">
        <v>4096002</v>
      </c>
      <c r="EE24">
        <v>4555598</v>
      </c>
      <c r="EF24">
        <v>212126</v>
      </c>
      <c r="EG24">
        <v>5191</v>
      </c>
      <c r="EH24">
        <v>18209</v>
      </c>
      <c r="EI24">
        <v>10410</v>
      </c>
      <c r="EJ24">
        <v>33810</v>
      </c>
      <c r="EK24">
        <v>2461789</v>
      </c>
      <c r="EL24">
        <v>11033</v>
      </c>
      <c r="EM24">
        <v>10757</v>
      </c>
      <c r="EN24">
        <v>32719</v>
      </c>
      <c r="EO24">
        <v>112441</v>
      </c>
      <c r="EP24">
        <v>2294839</v>
      </c>
      <c r="EQ24">
        <v>2495599</v>
      </c>
      <c r="ER24">
        <v>-268869</v>
      </c>
      <c r="ES24">
        <v>4138</v>
      </c>
      <c r="ET24">
        <v>439028</v>
      </c>
      <c r="EU24">
        <v>443166</v>
      </c>
      <c r="EV24">
        <v>818014</v>
      </c>
      <c r="EW24">
        <v>502585</v>
      </c>
    </row>
    <row r="25" spans="1:153" ht="18" x14ac:dyDescent="0.2">
      <c r="A25" t="s">
        <v>106</v>
      </c>
      <c r="B25" t="s">
        <v>107</v>
      </c>
      <c r="C25" t="s">
        <v>205</v>
      </c>
      <c r="D25" t="s">
        <v>236</v>
      </c>
      <c r="E25" t="s">
        <v>245</v>
      </c>
      <c r="G25">
        <v>3330</v>
      </c>
      <c r="I25" s="2">
        <v>2955</v>
      </c>
      <c r="K25">
        <v>16068</v>
      </c>
      <c r="M25">
        <v>16553</v>
      </c>
      <c r="N25">
        <v>19398</v>
      </c>
      <c r="O25">
        <v>365</v>
      </c>
      <c r="P25">
        <v>21347</v>
      </c>
      <c r="Q25">
        <v>21712</v>
      </c>
      <c r="R25">
        <v>508</v>
      </c>
      <c r="S25">
        <v>1062</v>
      </c>
      <c r="T25">
        <v>1571</v>
      </c>
      <c r="U25">
        <v>214</v>
      </c>
      <c r="V25">
        <v>13347</v>
      </c>
      <c r="W25">
        <v>13561</v>
      </c>
      <c r="X25">
        <v>1311</v>
      </c>
      <c r="Y25">
        <v>6086</v>
      </c>
      <c r="Z25">
        <v>7397</v>
      </c>
      <c r="AA25">
        <v>812</v>
      </c>
      <c r="AB25">
        <v>3448</v>
      </c>
      <c r="AC25">
        <v>4260</v>
      </c>
      <c r="AD25">
        <v>805</v>
      </c>
      <c r="AE25">
        <v>1858</v>
      </c>
      <c r="AF25">
        <v>2663</v>
      </c>
      <c r="AG25">
        <v>267</v>
      </c>
      <c r="AH25">
        <v>15465</v>
      </c>
      <c r="AI25">
        <v>15733</v>
      </c>
      <c r="AJ25">
        <v>1264</v>
      </c>
      <c r="AK25">
        <v>10732</v>
      </c>
      <c r="AL25">
        <v>11995</v>
      </c>
      <c r="AM25">
        <v>1797</v>
      </c>
      <c r="AN25">
        <v>11148</v>
      </c>
      <c r="AO25">
        <v>12945</v>
      </c>
      <c r="AP25">
        <v>1247</v>
      </c>
      <c r="AQ25">
        <v>9898</v>
      </c>
      <c r="AR25">
        <v>11145</v>
      </c>
      <c r="AS25">
        <v>209</v>
      </c>
      <c r="AT25">
        <v>826</v>
      </c>
      <c r="AU25">
        <v>1035</v>
      </c>
      <c r="AV25">
        <v>8264</v>
      </c>
      <c r="AW25">
        <v>12939</v>
      </c>
      <c r="AX25">
        <v>21203</v>
      </c>
      <c r="AY25">
        <v>4177</v>
      </c>
      <c r="AZ25">
        <v>27300</v>
      </c>
      <c r="BA25">
        <v>31477</v>
      </c>
      <c r="BB25">
        <v>2850</v>
      </c>
      <c r="BC25">
        <v>59122</v>
      </c>
      <c r="BD25">
        <v>61973</v>
      </c>
      <c r="BE25">
        <v>1076</v>
      </c>
      <c r="BF25">
        <v>14234</v>
      </c>
      <c r="BG25">
        <v>15310</v>
      </c>
      <c r="BH25">
        <v>753</v>
      </c>
      <c r="BI25">
        <v>3119</v>
      </c>
      <c r="BJ25">
        <v>3872</v>
      </c>
      <c r="BK25">
        <v>1829</v>
      </c>
      <c r="BL25">
        <v>19008</v>
      </c>
      <c r="BM25">
        <v>20836</v>
      </c>
      <c r="BN25">
        <v>243</v>
      </c>
      <c r="BO25">
        <v>6655</v>
      </c>
      <c r="BP25">
        <v>6898</v>
      </c>
      <c r="BQ25">
        <v>324</v>
      </c>
      <c r="BR25">
        <v>32238</v>
      </c>
      <c r="BS25">
        <v>32562</v>
      </c>
      <c r="BT25">
        <v>364</v>
      </c>
      <c r="BU25">
        <v>22606</v>
      </c>
      <c r="BV25">
        <v>22971</v>
      </c>
      <c r="BW25">
        <v>1061</v>
      </c>
      <c r="BX25">
        <v>48558</v>
      </c>
      <c r="BY25">
        <v>49619</v>
      </c>
      <c r="BZ25">
        <v>528</v>
      </c>
      <c r="CA25">
        <v>5874</v>
      </c>
      <c r="CB25">
        <v>6402</v>
      </c>
      <c r="CC25">
        <v>315</v>
      </c>
      <c r="CD25">
        <v>11292</v>
      </c>
      <c r="CE25">
        <v>11607</v>
      </c>
      <c r="CF25">
        <v>701</v>
      </c>
      <c r="CG25">
        <v>69284</v>
      </c>
      <c r="CH25">
        <v>69985</v>
      </c>
      <c r="CI25">
        <v>390</v>
      </c>
      <c r="CJ25">
        <v>22440</v>
      </c>
      <c r="CK25">
        <v>22831</v>
      </c>
      <c r="CL25">
        <v>38667</v>
      </c>
      <c r="CM25">
        <v>40303</v>
      </c>
      <c r="CN25">
        <v>12760</v>
      </c>
      <c r="CO25">
        <v>64965</v>
      </c>
      <c r="CP25">
        <v>68741</v>
      </c>
      <c r="CQ25">
        <v>3138</v>
      </c>
      <c r="CR25">
        <v>84650</v>
      </c>
      <c r="CS25">
        <v>48574</v>
      </c>
      <c r="CT25">
        <v>39072</v>
      </c>
      <c r="CU25">
        <v>23999</v>
      </c>
      <c r="CV25">
        <v>52677</v>
      </c>
      <c r="CW25">
        <v>14521</v>
      </c>
      <c r="CX25">
        <v>44140</v>
      </c>
      <c r="CY25">
        <v>25005</v>
      </c>
      <c r="CZ25">
        <v>2328</v>
      </c>
      <c r="DA25">
        <v>102622</v>
      </c>
      <c r="DB25">
        <v>104951</v>
      </c>
      <c r="DC25">
        <v>3490</v>
      </c>
      <c r="DD25">
        <v>102652</v>
      </c>
      <c r="DE25">
        <v>106142</v>
      </c>
      <c r="DF25">
        <v>980</v>
      </c>
      <c r="DG25">
        <v>13356</v>
      </c>
      <c r="DH25">
        <v>14335</v>
      </c>
      <c r="DI25">
        <v>7435</v>
      </c>
      <c r="DJ25">
        <v>9842</v>
      </c>
      <c r="DK25">
        <v>7671</v>
      </c>
      <c r="DL25">
        <v>24948</v>
      </c>
      <c r="DM25">
        <v>281706</v>
      </c>
      <c r="DN25">
        <v>7035</v>
      </c>
      <c r="DO25">
        <v>11591</v>
      </c>
      <c r="DP25">
        <v>14349</v>
      </c>
      <c r="DQ25">
        <v>46709</v>
      </c>
      <c r="DR25">
        <v>202023</v>
      </c>
      <c r="DS25">
        <v>306654</v>
      </c>
      <c r="DT25">
        <v>199432</v>
      </c>
      <c r="DU25">
        <v>10060</v>
      </c>
      <c r="DV25">
        <v>13902</v>
      </c>
      <c r="DW25">
        <v>11412</v>
      </c>
      <c r="DX25">
        <v>35375</v>
      </c>
      <c r="DY25">
        <v>468073</v>
      </c>
      <c r="DZ25">
        <v>11988</v>
      </c>
      <c r="EA25">
        <v>16739</v>
      </c>
      <c r="EB25">
        <v>26822</v>
      </c>
      <c r="EC25">
        <v>71991</v>
      </c>
      <c r="ED25">
        <v>340531</v>
      </c>
      <c r="EE25">
        <v>503448</v>
      </c>
      <c r="EF25">
        <v>32570</v>
      </c>
      <c r="EG25">
        <v>2626</v>
      </c>
      <c r="EH25">
        <v>4060</v>
      </c>
      <c r="EI25">
        <v>3741</v>
      </c>
      <c r="EJ25">
        <v>10427</v>
      </c>
      <c r="EK25">
        <v>186366</v>
      </c>
      <c r="EL25">
        <v>4954</v>
      </c>
      <c r="EM25">
        <v>5148</v>
      </c>
      <c r="EN25">
        <v>12474</v>
      </c>
      <c r="EO25">
        <v>25283</v>
      </c>
      <c r="EP25">
        <v>138508</v>
      </c>
      <c r="EQ25">
        <v>196793</v>
      </c>
      <c r="ER25">
        <v>136342</v>
      </c>
      <c r="ES25">
        <v>1823</v>
      </c>
      <c r="ET25">
        <v>73114</v>
      </c>
      <c r="EU25">
        <v>74937</v>
      </c>
      <c r="EV25">
        <v>146467</v>
      </c>
      <c r="EW25">
        <v>78970</v>
      </c>
    </row>
    <row r="26" spans="1:153" ht="18" x14ac:dyDescent="0.2">
      <c r="A26" t="s">
        <v>108</v>
      </c>
      <c r="B26" t="s">
        <v>109</v>
      </c>
      <c r="C26" t="s">
        <v>205</v>
      </c>
      <c r="D26" t="s">
        <v>236</v>
      </c>
      <c r="E26" t="s">
        <v>245</v>
      </c>
      <c r="G26">
        <v>897</v>
      </c>
      <c r="I26" s="2">
        <v>469</v>
      </c>
      <c r="K26">
        <v>1824</v>
      </c>
      <c r="M26">
        <v>721</v>
      </c>
      <c r="N26">
        <v>2721</v>
      </c>
      <c r="O26">
        <v>117</v>
      </c>
      <c r="P26">
        <v>2647</v>
      </c>
      <c r="Q26">
        <v>2764</v>
      </c>
      <c r="R26">
        <v>160</v>
      </c>
      <c r="S26">
        <v>21</v>
      </c>
      <c r="T26">
        <v>181</v>
      </c>
      <c r="U26">
        <v>21</v>
      </c>
      <c r="V26">
        <v>3</v>
      </c>
      <c r="W26">
        <v>24</v>
      </c>
      <c r="X26">
        <v>425</v>
      </c>
      <c r="Y26">
        <v>246</v>
      </c>
      <c r="Z26">
        <v>671</v>
      </c>
      <c r="AA26">
        <v>151</v>
      </c>
      <c r="AB26">
        <v>93</v>
      </c>
      <c r="AC26">
        <v>244</v>
      </c>
      <c r="AD26">
        <v>128</v>
      </c>
      <c r="AE26">
        <v>1</v>
      </c>
      <c r="AF26">
        <v>128</v>
      </c>
      <c r="AG26">
        <v>34</v>
      </c>
      <c r="AH26">
        <v>3051</v>
      </c>
      <c r="AI26">
        <v>3085</v>
      </c>
      <c r="AJ26">
        <v>115</v>
      </c>
      <c r="AK26">
        <v>1134</v>
      </c>
      <c r="AL26">
        <v>1250</v>
      </c>
      <c r="AM26">
        <v>156</v>
      </c>
      <c r="AN26">
        <v>2048</v>
      </c>
      <c r="AO26">
        <v>2204</v>
      </c>
      <c r="AP26">
        <v>98</v>
      </c>
      <c r="AQ26">
        <v>84</v>
      </c>
      <c r="AR26">
        <v>181</v>
      </c>
      <c r="AS26">
        <v>116</v>
      </c>
      <c r="AT26">
        <v>4</v>
      </c>
      <c r="AU26">
        <v>120</v>
      </c>
      <c r="AV26">
        <v>583</v>
      </c>
      <c r="AW26">
        <v>571</v>
      </c>
      <c r="AX26">
        <v>1154</v>
      </c>
      <c r="AY26">
        <v>481</v>
      </c>
      <c r="AZ26">
        <v>2138</v>
      </c>
      <c r="BA26">
        <v>2619</v>
      </c>
      <c r="BB26">
        <v>508</v>
      </c>
      <c r="BC26">
        <v>4161</v>
      </c>
      <c r="BD26">
        <v>4669</v>
      </c>
      <c r="BE26">
        <v>122</v>
      </c>
      <c r="BF26">
        <v>820</v>
      </c>
      <c r="BG26">
        <v>942</v>
      </c>
      <c r="BH26">
        <v>179</v>
      </c>
      <c r="BI26">
        <v>138</v>
      </c>
      <c r="BJ26">
        <v>318</v>
      </c>
      <c r="BK26">
        <v>61</v>
      </c>
      <c r="BL26">
        <v>164</v>
      </c>
      <c r="BM26">
        <v>225</v>
      </c>
      <c r="BN26">
        <v>135</v>
      </c>
      <c r="BO26">
        <v>879</v>
      </c>
      <c r="BP26">
        <v>1015</v>
      </c>
      <c r="BQ26">
        <v>27</v>
      </c>
      <c r="BR26">
        <v>17</v>
      </c>
      <c r="BS26">
        <v>44</v>
      </c>
      <c r="BT26">
        <v>31</v>
      </c>
      <c r="BU26">
        <v>1810</v>
      </c>
      <c r="BV26">
        <v>1841</v>
      </c>
      <c r="BW26">
        <v>170</v>
      </c>
      <c r="BX26">
        <v>23079</v>
      </c>
      <c r="BY26">
        <v>23248</v>
      </c>
      <c r="BZ26">
        <v>60</v>
      </c>
      <c r="CA26">
        <v>1327</v>
      </c>
      <c r="CB26">
        <v>1388</v>
      </c>
      <c r="CC26">
        <v>56</v>
      </c>
      <c r="CD26">
        <v>6511</v>
      </c>
      <c r="CE26">
        <v>6567</v>
      </c>
      <c r="CF26">
        <v>29</v>
      </c>
      <c r="CG26">
        <v>3282</v>
      </c>
      <c r="CH26">
        <v>3311</v>
      </c>
      <c r="CI26">
        <v>58</v>
      </c>
      <c r="CJ26">
        <v>1250</v>
      </c>
      <c r="CK26">
        <v>1309</v>
      </c>
      <c r="CL26">
        <v>11315</v>
      </c>
      <c r="CM26">
        <v>1559</v>
      </c>
      <c r="CN26">
        <v>38</v>
      </c>
      <c r="CO26">
        <v>120</v>
      </c>
      <c r="CP26">
        <v>1477</v>
      </c>
      <c r="CQ26">
        <v>507</v>
      </c>
      <c r="CR26">
        <v>5499</v>
      </c>
      <c r="CS26">
        <v>1659</v>
      </c>
      <c r="CT26">
        <v>1103</v>
      </c>
      <c r="CU26">
        <v>4926</v>
      </c>
      <c r="CV26">
        <v>11865</v>
      </c>
      <c r="CW26">
        <v>493</v>
      </c>
      <c r="CX26">
        <v>1177</v>
      </c>
      <c r="CY26">
        <v>1817</v>
      </c>
      <c r="CZ26">
        <v>175</v>
      </c>
      <c r="DA26">
        <v>6227</v>
      </c>
      <c r="DB26">
        <v>6402</v>
      </c>
      <c r="DC26">
        <v>591</v>
      </c>
      <c r="DD26">
        <v>10689</v>
      </c>
      <c r="DE26">
        <v>11280</v>
      </c>
      <c r="DF26">
        <v>312</v>
      </c>
      <c r="DG26">
        <v>2211</v>
      </c>
      <c r="DH26">
        <v>2522</v>
      </c>
      <c r="DI26">
        <v>797</v>
      </c>
      <c r="DJ26">
        <v>1340</v>
      </c>
      <c r="DK26">
        <v>1027</v>
      </c>
      <c r="DL26">
        <v>3164</v>
      </c>
      <c r="DM26">
        <v>41549</v>
      </c>
      <c r="DN26">
        <v>608</v>
      </c>
      <c r="DO26">
        <v>736</v>
      </c>
      <c r="DP26">
        <v>227</v>
      </c>
      <c r="DQ26">
        <v>2863</v>
      </c>
      <c r="DR26">
        <v>37114</v>
      </c>
      <c r="DS26">
        <v>44712</v>
      </c>
      <c r="DT26">
        <v>13695</v>
      </c>
      <c r="DU26">
        <v>1083</v>
      </c>
      <c r="DV26">
        <v>2416</v>
      </c>
      <c r="DW26">
        <v>1504</v>
      </c>
      <c r="DX26">
        <v>5004</v>
      </c>
      <c r="DY26">
        <v>57463</v>
      </c>
      <c r="DZ26">
        <v>913</v>
      </c>
      <c r="EA26">
        <v>1054</v>
      </c>
      <c r="EB26">
        <v>823</v>
      </c>
      <c r="EC26">
        <v>3700</v>
      </c>
      <c r="ED26">
        <v>50973</v>
      </c>
      <c r="EE26">
        <v>62467</v>
      </c>
      <c r="EF26">
        <v>5887</v>
      </c>
      <c r="EG26">
        <v>286</v>
      </c>
      <c r="EH26">
        <v>1076</v>
      </c>
      <c r="EI26">
        <v>478</v>
      </c>
      <c r="EJ26">
        <v>1840</v>
      </c>
      <c r="EK26">
        <v>15914</v>
      </c>
      <c r="EL26">
        <v>304</v>
      </c>
      <c r="EM26">
        <v>319</v>
      </c>
      <c r="EN26">
        <v>595</v>
      </c>
      <c r="EO26">
        <v>837</v>
      </c>
      <c r="EP26">
        <v>13859</v>
      </c>
      <c r="EQ26">
        <v>17755</v>
      </c>
      <c r="ER26">
        <v>15351</v>
      </c>
      <c r="ES26">
        <v>313</v>
      </c>
      <c r="ET26">
        <v>24487</v>
      </c>
      <c r="EU26">
        <v>24800</v>
      </c>
      <c r="EV26">
        <v>1636</v>
      </c>
      <c r="EW26">
        <v>12874</v>
      </c>
    </row>
    <row r="27" spans="1:153" ht="18" x14ac:dyDescent="0.2">
      <c r="A27" t="s">
        <v>110</v>
      </c>
      <c r="B27" t="s">
        <v>111</v>
      </c>
      <c r="C27" t="s">
        <v>205</v>
      </c>
      <c r="D27" t="s">
        <v>236</v>
      </c>
      <c r="E27" t="s">
        <v>245</v>
      </c>
      <c r="G27">
        <v>0</v>
      </c>
      <c r="I27" s="2">
        <v>0</v>
      </c>
      <c r="K27">
        <v>1088</v>
      </c>
      <c r="M27">
        <v>914</v>
      </c>
      <c r="N27">
        <v>0</v>
      </c>
      <c r="O27">
        <v>0</v>
      </c>
      <c r="P27">
        <v>1</v>
      </c>
      <c r="Q27">
        <v>0</v>
      </c>
      <c r="R27">
        <v>0</v>
      </c>
      <c r="S27">
        <v>7</v>
      </c>
      <c r="T27">
        <v>0</v>
      </c>
      <c r="U27">
        <v>0</v>
      </c>
      <c r="V27">
        <v>405</v>
      </c>
      <c r="W27">
        <v>0</v>
      </c>
      <c r="X27">
        <v>0</v>
      </c>
      <c r="Y27">
        <v>87</v>
      </c>
      <c r="Z27">
        <v>0</v>
      </c>
      <c r="AA27">
        <v>0</v>
      </c>
      <c r="AB27">
        <v>80</v>
      </c>
      <c r="AC27">
        <v>0</v>
      </c>
      <c r="AD27">
        <v>0</v>
      </c>
      <c r="AE27">
        <v>2</v>
      </c>
      <c r="AF27">
        <v>0</v>
      </c>
      <c r="AG27">
        <v>0</v>
      </c>
      <c r="AH27">
        <v>1430</v>
      </c>
      <c r="AI27">
        <v>0</v>
      </c>
      <c r="AJ27">
        <v>0</v>
      </c>
      <c r="AK27">
        <v>412</v>
      </c>
      <c r="AL27">
        <v>0</v>
      </c>
      <c r="AM27">
        <v>0</v>
      </c>
      <c r="AN27">
        <v>351</v>
      </c>
      <c r="AO27">
        <v>0</v>
      </c>
      <c r="AP27">
        <v>0</v>
      </c>
      <c r="AQ27">
        <v>1363</v>
      </c>
      <c r="AR27">
        <v>0</v>
      </c>
      <c r="AS27">
        <v>0</v>
      </c>
      <c r="AT27">
        <v>90</v>
      </c>
      <c r="AU27">
        <v>0</v>
      </c>
      <c r="AV27">
        <v>0</v>
      </c>
      <c r="AW27">
        <v>1117</v>
      </c>
      <c r="AX27">
        <v>0</v>
      </c>
      <c r="AY27">
        <v>0</v>
      </c>
      <c r="AZ27">
        <v>2009</v>
      </c>
      <c r="BA27">
        <v>0</v>
      </c>
      <c r="BB27">
        <v>0</v>
      </c>
      <c r="BC27">
        <v>11491</v>
      </c>
      <c r="BD27">
        <v>0</v>
      </c>
      <c r="BE27">
        <v>0</v>
      </c>
      <c r="BF27">
        <v>8130</v>
      </c>
      <c r="BG27">
        <v>0</v>
      </c>
      <c r="BH27">
        <v>0</v>
      </c>
      <c r="BI27">
        <v>276</v>
      </c>
      <c r="BJ27">
        <v>0</v>
      </c>
      <c r="BK27">
        <v>0</v>
      </c>
      <c r="BL27">
        <v>7327</v>
      </c>
      <c r="BM27">
        <v>0</v>
      </c>
      <c r="BN27">
        <v>0</v>
      </c>
      <c r="BO27">
        <v>324</v>
      </c>
      <c r="BP27">
        <v>0</v>
      </c>
      <c r="BQ27">
        <v>0</v>
      </c>
      <c r="BR27">
        <v>531</v>
      </c>
      <c r="BS27">
        <v>0</v>
      </c>
      <c r="BT27">
        <v>0</v>
      </c>
      <c r="BU27">
        <v>97</v>
      </c>
      <c r="BV27">
        <v>0</v>
      </c>
      <c r="BW27">
        <v>0</v>
      </c>
      <c r="BX27">
        <v>4596</v>
      </c>
      <c r="BY27">
        <v>0</v>
      </c>
      <c r="BZ27">
        <v>0</v>
      </c>
      <c r="CA27">
        <v>273</v>
      </c>
      <c r="CB27">
        <v>0</v>
      </c>
      <c r="CC27">
        <v>0</v>
      </c>
      <c r="CD27">
        <v>1750</v>
      </c>
      <c r="CE27">
        <v>0</v>
      </c>
      <c r="CF27">
        <v>0</v>
      </c>
      <c r="CG27">
        <v>459</v>
      </c>
      <c r="CH27">
        <v>0</v>
      </c>
      <c r="CI27">
        <v>0</v>
      </c>
      <c r="CJ27">
        <v>268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968</v>
      </c>
      <c r="DB27">
        <v>0</v>
      </c>
      <c r="DC27">
        <v>0</v>
      </c>
      <c r="DD27">
        <v>13772</v>
      </c>
      <c r="DE27">
        <v>0</v>
      </c>
      <c r="DF27">
        <v>0</v>
      </c>
      <c r="DG27">
        <v>686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39706</v>
      </c>
      <c r="DN27">
        <v>77</v>
      </c>
      <c r="DO27">
        <v>277</v>
      </c>
      <c r="DP27">
        <v>714</v>
      </c>
      <c r="DQ27">
        <v>4303</v>
      </c>
      <c r="DR27">
        <v>34334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44038</v>
      </c>
      <c r="DZ27">
        <v>125</v>
      </c>
      <c r="EA27">
        <v>423</v>
      </c>
      <c r="EB27">
        <v>1003</v>
      </c>
      <c r="EC27">
        <v>5208</v>
      </c>
      <c r="ED27">
        <v>37279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4332</v>
      </c>
      <c r="EL27">
        <v>48</v>
      </c>
      <c r="EM27">
        <v>146</v>
      </c>
      <c r="EN27">
        <v>289</v>
      </c>
      <c r="EO27">
        <v>905</v>
      </c>
      <c r="EP27">
        <v>2945</v>
      </c>
      <c r="EQ27">
        <v>0</v>
      </c>
      <c r="ER27">
        <v>0</v>
      </c>
      <c r="ES27">
        <v>0</v>
      </c>
      <c r="ET27">
        <v>4938</v>
      </c>
      <c r="EU27">
        <v>0</v>
      </c>
      <c r="EV27">
        <v>0</v>
      </c>
      <c r="EW27">
        <v>0</v>
      </c>
    </row>
    <row r="28" spans="1:153" ht="18" x14ac:dyDescent="0.2">
      <c r="A28" t="s">
        <v>112</v>
      </c>
      <c r="B28" t="s">
        <v>113</v>
      </c>
      <c r="C28" t="s">
        <v>205</v>
      </c>
      <c r="D28" t="s">
        <v>235</v>
      </c>
      <c r="E28" t="s">
        <v>245</v>
      </c>
      <c r="F28">
        <f>G25+G26+G27</f>
        <v>4227</v>
      </c>
      <c r="G28">
        <v>4228</v>
      </c>
      <c r="H28">
        <f>I25+I26+I27</f>
        <v>3424</v>
      </c>
      <c r="I28" s="2">
        <v>3424</v>
      </c>
      <c r="J28">
        <f>K25+K26+K27</f>
        <v>18980</v>
      </c>
      <c r="K28">
        <v>18979</v>
      </c>
      <c r="L28">
        <f>M25+M26+M27</f>
        <v>18188</v>
      </c>
      <c r="M28">
        <v>18188</v>
      </c>
      <c r="N28">
        <v>22119</v>
      </c>
      <c r="O28">
        <v>482</v>
      </c>
      <c r="P28">
        <v>23995</v>
      </c>
      <c r="Q28">
        <v>24476</v>
      </c>
      <c r="R28">
        <v>668</v>
      </c>
      <c r="S28">
        <v>1090</v>
      </c>
      <c r="T28">
        <v>1752</v>
      </c>
      <c r="U28">
        <v>235</v>
      </c>
      <c r="V28">
        <v>13755</v>
      </c>
      <c r="W28">
        <v>13585</v>
      </c>
      <c r="X28">
        <v>1736</v>
      </c>
      <c r="Y28">
        <v>6419</v>
      </c>
      <c r="Z28">
        <v>8068</v>
      </c>
      <c r="AA28">
        <v>963</v>
      </c>
      <c r="AB28">
        <v>3622</v>
      </c>
      <c r="AC28">
        <v>4505</v>
      </c>
      <c r="AD28">
        <v>933</v>
      </c>
      <c r="AE28">
        <v>1862</v>
      </c>
      <c r="AF28">
        <v>2792</v>
      </c>
      <c r="AG28">
        <v>301</v>
      </c>
      <c r="AH28">
        <v>19946</v>
      </c>
      <c r="AI28">
        <v>18817</v>
      </c>
      <c r="AJ28">
        <v>1379</v>
      </c>
      <c r="AK28">
        <v>12278</v>
      </c>
      <c r="AL28">
        <v>13245</v>
      </c>
      <c r="AM28">
        <v>1954</v>
      </c>
      <c r="AN28">
        <v>13546</v>
      </c>
      <c r="AO28">
        <v>15149</v>
      </c>
      <c r="AP28">
        <v>1344</v>
      </c>
      <c r="AQ28">
        <v>11345</v>
      </c>
      <c r="AR28">
        <v>11326</v>
      </c>
      <c r="AS28">
        <v>324</v>
      </c>
      <c r="AT28">
        <v>920</v>
      </c>
      <c r="AU28">
        <v>1155</v>
      </c>
      <c r="AV28">
        <v>8846</v>
      </c>
      <c r="AW28">
        <v>14628</v>
      </c>
      <c r="AX28">
        <v>22356</v>
      </c>
      <c r="AY28">
        <v>4658</v>
      </c>
      <c r="AZ28">
        <v>31447</v>
      </c>
      <c r="BA28">
        <v>34096</v>
      </c>
      <c r="BB28">
        <v>3358</v>
      </c>
      <c r="BC28">
        <v>74774</v>
      </c>
      <c r="BD28">
        <v>66642</v>
      </c>
      <c r="BE28">
        <v>1198</v>
      </c>
      <c r="BF28">
        <v>23184</v>
      </c>
      <c r="BG28">
        <v>16252</v>
      </c>
      <c r="BH28">
        <v>932</v>
      </c>
      <c r="BI28">
        <v>3534</v>
      </c>
      <c r="BJ28">
        <v>4189</v>
      </c>
      <c r="BK28">
        <v>1889</v>
      </c>
      <c r="BL28">
        <v>26498</v>
      </c>
      <c r="BM28">
        <v>21061</v>
      </c>
      <c r="BN28">
        <v>378</v>
      </c>
      <c r="BO28">
        <v>7859</v>
      </c>
      <c r="BP28">
        <v>7913</v>
      </c>
      <c r="BQ28">
        <v>351</v>
      </c>
      <c r="BR28">
        <v>32786</v>
      </c>
      <c r="BS28">
        <v>32606</v>
      </c>
      <c r="BT28">
        <v>395</v>
      </c>
      <c r="BU28">
        <v>24514</v>
      </c>
      <c r="BV28">
        <v>24812</v>
      </c>
      <c r="BW28">
        <v>1231</v>
      </c>
      <c r="BX28">
        <v>76232</v>
      </c>
      <c r="BY28">
        <v>72867</v>
      </c>
      <c r="BZ28">
        <v>588</v>
      </c>
      <c r="CA28">
        <v>7474</v>
      </c>
      <c r="CB28">
        <v>7790</v>
      </c>
      <c r="CC28">
        <v>371</v>
      </c>
      <c r="CD28">
        <v>19553</v>
      </c>
      <c r="CE28">
        <v>18174</v>
      </c>
      <c r="CF28">
        <v>729</v>
      </c>
      <c r="CG28">
        <v>73026</v>
      </c>
      <c r="CH28">
        <v>73296</v>
      </c>
      <c r="CI28">
        <v>448</v>
      </c>
      <c r="CJ28">
        <v>23959</v>
      </c>
      <c r="CK28">
        <v>24139</v>
      </c>
      <c r="CL28">
        <v>49982</v>
      </c>
      <c r="CM28">
        <v>41862</v>
      </c>
      <c r="CN28">
        <v>12799</v>
      </c>
      <c r="CO28">
        <v>65086</v>
      </c>
      <c r="CP28">
        <v>70218</v>
      </c>
      <c r="CQ28">
        <v>3645</v>
      </c>
      <c r="CR28">
        <v>90149</v>
      </c>
      <c r="CS28">
        <v>50233</v>
      </c>
      <c r="CT28">
        <v>40175</v>
      </c>
      <c r="CU28">
        <v>28925</v>
      </c>
      <c r="CV28">
        <v>64542</v>
      </c>
      <c r="CW28">
        <v>15013</v>
      </c>
      <c r="CX28">
        <v>45316</v>
      </c>
      <c r="CY28">
        <v>26822</v>
      </c>
      <c r="CZ28">
        <v>2503</v>
      </c>
      <c r="DA28">
        <v>109817</v>
      </c>
      <c r="DB28">
        <v>111352</v>
      </c>
      <c r="DC28">
        <v>4081</v>
      </c>
      <c r="DD28">
        <v>127114</v>
      </c>
      <c r="DE28">
        <v>117422</v>
      </c>
      <c r="DF28">
        <v>1291</v>
      </c>
      <c r="DG28">
        <v>16253</v>
      </c>
      <c r="DH28">
        <v>16858</v>
      </c>
      <c r="DI28">
        <v>8232</v>
      </c>
      <c r="DJ28">
        <v>11182</v>
      </c>
      <c r="DK28">
        <v>8697</v>
      </c>
      <c r="DL28">
        <v>28112</v>
      </c>
      <c r="DM28">
        <v>362960</v>
      </c>
      <c r="DN28">
        <v>7720</v>
      </c>
      <c r="DO28">
        <v>12604</v>
      </c>
      <c r="DP28">
        <v>15290</v>
      </c>
      <c r="DQ28">
        <v>53874</v>
      </c>
      <c r="DR28">
        <v>273472</v>
      </c>
      <c r="DS28">
        <v>351366</v>
      </c>
      <c r="DT28">
        <v>213127</v>
      </c>
      <c r="DU28">
        <v>11144</v>
      </c>
      <c r="DV28">
        <v>16319</v>
      </c>
      <c r="DW28">
        <v>12916</v>
      </c>
      <c r="DX28">
        <v>40379</v>
      </c>
      <c r="DY28">
        <v>569574</v>
      </c>
      <c r="DZ28">
        <v>13026</v>
      </c>
      <c r="EA28">
        <v>18216</v>
      </c>
      <c r="EB28">
        <v>28648</v>
      </c>
      <c r="EC28">
        <v>80899</v>
      </c>
      <c r="ED28">
        <v>428784</v>
      </c>
      <c r="EE28">
        <v>565914</v>
      </c>
      <c r="EF28">
        <v>38457</v>
      </c>
      <c r="EG28">
        <v>2912</v>
      </c>
      <c r="EH28">
        <v>5136</v>
      </c>
      <c r="EI28">
        <v>4219</v>
      </c>
      <c r="EJ28">
        <v>12267</v>
      </c>
      <c r="EK28">
        <v>206613</v>
      </c>
      <c r="EL28">
        <v>5306</v>
      </c>
      <c r="EM28">
        <v>5612</v>
      </c>
      <c r="EN28">
        <v>13358</v>
      </c>
      <c r="EO28">
        <v>27025</v>
      </c>
      <c r="EP28">
        <v>155312</v>
      </c>
      <c r="EQ28">
        <v>214548</v>
      </c>
      <c r="ER28">
        <v>151693</v>
      </c>
      <c r="ES28">
        <v>2136</v>
      </c>
      <c r="ET28">
        <v>102540</v>
      </c>
      <c r="EU28">
        <v>99737</v>
      </c>
      <c r="EV28">
        <v>148102</v>
      </c>
      <c r="EW28">
        <v>91844</v>
      </c>
    </row>
    <row r="29" spans="1:153" ht="18" x14ac:dyDescent="0.2">
      <c r="A29" t="s">
        <v>114</v>
      </c>
      <c r="B29" t="s">
        <v>115</v>
      </c>
      <c r="C29" t="s">
        <v>206</v>
      </c>
      <c r="D29" t="s">
        <v>235</v>
      </c>
      <c r="E29" t="s">
        <v>245</v>
      </c>
      <c r="G29">
        <v>0</v>
      </c>
      <c r="I29" s="2">
        <v>0</v>
      </c>
      <c r="K29">
        <v>1405</v>
      </c>
      <c r="M29">
        <v>386</v>
      </c>
      <c r="N29">
        <v>0</v>
      </c>
      <c r="O29">
        <v>0</v>
      </c>
      <c r="P29">
        <v>0</v>
      </c>
      <c r="Q29">
        <v>0</v>
      </c>
      <c r="R29">
        <v>0</v>
      </c>
      <c r="S29">
        <v>118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28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260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18729</v>
      </c>
      <c r="BD29">
        <v>0</v>
      </c>
      <c r="BE29">
        <v>0</v>
      </c>
      <c r="BF29">
        <v>2385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830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455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525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61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7</v>
      </c>
      <c r="DB29">
        <v>0</v>
      </c>
      <c r="DC29">
        <v>0</v>
      </c>
      <c r="DD29">
        <v>19254</v>
      </c>
      <c r="DE29">
        <v>0</v>
      </c>
      <c r="DF29">
        <v>0</v>
      </c>
      <c r="DG29">
        <v>830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23244</v>
      </c>
      <c r="DN29">
        <v>15</v>
      </c>
      <c r="DO29">
        <v>39</v>
      </c>
      <c r="DP29">
        <v>592</v>
      </c>
      <c r="DQ29">
        <v>61</v>
      </c>
      <c r="DR29">
        <v>22537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24802</v>
      </c>
      <c r="DZ29">
        <v>50</v>
      </c>
      <c r="EA29">
        <v>66</v>
      </c>
      <c r="EB29">
        <v>592</v>
      </c>
      <c r="EC29">
        <v>261</v>
      </c>
      <c r="ED29">
        <v>23833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1558</v>
      </c>
      <c r="EL29">
        <v>35</v>
      </c>
      <c r="EM29">
        <v>28</v>
      </c>
      <c r="EN29">
        <v>0</v>
      </c>
      <c r="EO29">
        <v>200</v>
      </c>
      <c r="EP29">
        <v>1296</v>
      </c>
      <c r="EQ29">
        <v>0</v>
      </c>
      <c r="ER29">
        <v>0</v>
      </c>
      <c r="ES29">
        <v>0</v>
      </c>
      <c r="ET29">
        <v>516</v>
      </c>
      <c r="EU29">
        <v>0</v>
      </c>
      <c r="EV29">
        <v>0</v>
      </c>
      <c r="EW29">
        <v>0</v>
      </c>
    </row>
    <row r="30" spans="1:153" ht="18" x14ac:dyDescent="0.2">
      <c r="A30" t="s">
        <v>116</v>
      </c>
      <c r="B30" t="s">
        <v>117</v>
      </c>
      <c r="C30" t="s">
        <v>206</v>
      </c>
      <c r="D30" t="s">
        <v>235</v>
      </c>
      <c r="E30" t="s">
        <v>245</v>
      </c>
      <c r="G30">
        <v>0</v>
      </c>
      <c r="I30" s="2">
        <v>0</v>
      </c>
      <c r="K30">
        <v>1135</v>
      </c>
      <c r="M30">
        <v>919</v>
      </c>
      <c r="N30">
        <v>0</v>
      </c>
      <c r="O30">
        <v>0</v>
      </c>
      <c r="P30">
        <v>367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57</v>
      </c>
      <c r="Z30">
        <v>0</v>
      </c>
      <c r="AA30">
        <v>0</v>
      </c>
      <c r="AB30">
        <v>82</v>
      </c>
      <c r="AC30">
        <v>0</v>
      </c>
      <c r="AD30">
        <v>0</v>
      </c>
      <c r="AE30">
        <v>6</v>
      </c>
      <c r="AF30">
        <v>0</v>
      </c>
      <c r="AG30">
        <v>0</v>
      </c>
      <c r="AH30">
        <v>833</v>
      </c>
      <c r="AI30">
        <v>0</v>
      </c>
      <c r="AJ30">
        <v>0</v>
      </c>
      <c r="AK30">
        <v>1545</v>
      </c>
      <c r="AL30">
        <v>0</v>
      </c>
      <c r="AM30">
        <v>0</v>
      </c>
      <c r="AN30">
        <v>398</v>
      </c>
      <c r="AO30">
        <v>0</v>
      </c>
      <c r="AP30">
        <v>0</v>
      </c>
      <c r="AQ30">
        <v>48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258</v>
      </c>
      <c r="AX30">
        <v>0</v>
      </c>
      <c r="AY30">
        <v>0</v>
      </c>
      <c r="AZ30">
        <v>1821</v>
      </c>
      <c r="BA30">
        <v>0</v>
      </c>
      <c r="BB30">
        <v>0</v>
      </c>
      <c r="BC30">
        <v>1114</v>
      </c>
      <c r="BD30">
        <v>0</v>
      </c>
      <c r="BE30">
        <v>0</v>
      </c>
      <c r="BF30">
        <v>1936</v>
      </c>
      <c r="BG30">
        <v>0</v>
      </c>
      <c r="BH30">
        <v>0</v>
      </c>
      <c r="BI30">
        <v>134</v>
      </c>
      <c r="BJ30">
        <v>0</v>
      </c>
      <c r="BK30">
        <v>0</v>
      </c>
      <c r="BL30">
        <v>8457</v>
      </c>
      <c r="BM30">
        <v>0</v>
      </c>
      <c r="BN30">
        <v>0</v>
      </c>
      <c r="BO30">
        <v>3</v>
      </c>
      <c r="BP30">
        <v>0</v>
      </c>
      <c r="BQ30">
        <v>0</v>
      </c>
      <c r="BR30">
        <v>340</v>
      </c>
      <c r="BS30">
        <v>0</v>
      </c>
      <c r="BT30">
        <v>0</v>
      </c>
      <c r="BU30">
        <v>2</v>
      </c>
      <c r="BV30">
        <v>0</v>
      </c>
      <c r="BW30">
        <v>0</v>
      </c>
      <c r="BX30">
        <v>8613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121</v>
      </c>
      <c r="CE30">
        <v>0</v>
      </c>
      <c r="CF30">
        <v>0</v>
      </c>
      <c r="CG30">
        <v>7723</v>
      </c>
      <c r="CH30">
        <v>0</v>
      </c>
      <c r="CI30">
        <v>0</v>
      </c>
      <c r="CJ30">
        <v>140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9269</v>
      </c>
      <c r="DB30">
        <v>0</v>
      </c>
      <c r="DC30">
        <v>0</v>
      </c>
      <c r="DD30">
        <v>1575</v>
      </c>
      <c r="DE30">
        <v>0</v>
      </c>
      <c r="DF30">
        <v>0</v>
      </c>
      <c r="DG30">
        <v>3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23040</v>
      </c>
      <c r="DN30">
        <v>178</v>
      </c>
      <c r="DO30">
        <v>438</v>
      </c>
      <c r="DP30">
        <v>522</v>
      </c>
      <c r="DQ30">
        <v>2608</v>
      </c>
      <c r="DR30">
        <v>19294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35130</v>
      </c>
      <c r="DZ30">
        <v>480</v>
      </c>
      <c r="EA30">
        <v>1136</v>
      </c>
      <c r="EB30">
        <v>1641</v>
      </c>
      <c r="EC30">
        <v>4458</v>
      </c>
      <c r="ED30">
        <v>27416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12090</v>
      </c>
      <c r="EL30">
        <v>301</v>
      </c>
      <c r="EM30">
        <v>698</v>
      </c>
      <c r="EN30">
        <v>1119</v>
      </c>
      <c r="EO30">
        <v>1850</v>
      </c>
      <c r="EP30">
        <v>8122</v>
      </c>
      <c r="EQ30">
        <v>0</v>
      </c>
      <c r="ER30">
        <v>0</v>
      </c>
      <c r="ES30">
        <v>0</v>
      </c>
      <c r="ET30">
        <v>8752</v>
      </c>
      <c r="EU30">
        <v>0</v>
      </c>
      <c r="EV30">
        <v>0</v>
      </c>
      <c r="EW30">
        <v>0</v>
      </c>
    </row>
    <row r="31" spans="1:153" ht="18" x14ac:dyDescent="0.2">
      <c r="A31" t="s">
        <v>118</v>
      </c>
      <c r="B31" t="s">
        <v>119</v>
      </c>
      <c r="C31" t="s">
        <v>206</v>
      </c>
      <c r="D31" t="s">
        <v>235</v>
      </c>
      <c r="E31" t="s">
        <v>245</v>
      </c>
      <c r="G31">
        <v>0</v>
      </c>
      <c r="I31" s="2">
        <v>0</v>
      </c>
      <c r="K31">
        <v>542</v>
      </c>
      <c r="M31">
        <v>274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367</v>
      </c>
      <c r="W31">
        <v>0</v>
      </c>
      <c r="X31">
        <v>0</v>
      </c>
      <c r="Y31">
        <v>30620</v>
      </c>
      <c r="Z31">
        <v>0</v>
      </c>
      <c r="AA31">
        <v>0</v>
      </c>
      <c r="AB31">
        <v>53</v>
      </c>
      <c r="AC31">
        <v>0</v>
      </c>
      <c r="AD31">
        <v>0</v>
      </c>
      <c r="AE31">
        <v>201</v>
      </c>
      <c r="AF31">
        <v>0</v>
      </c>
      <c r="AG31">
        <v>0</v>
      </c>
      <c r="AH31">
        <v>446</v>
      </c>
      <c r="AI31">
        <v>0</v>
      </c>
      <c r="AJ31">
        <v>0</v>
      </c>
      <c r="AK31">
        <v>355</v>
      </c>
      <c r="AL31">
        <v>0</v>
      </c>
      <c r="AM31">
        <v>0</v>
      </c>
      <c r="AN31">
        <v>482</v>
      </c>
      <c r="AO31">
        <v>0</v>
      </c>
      <c r="AP31">
        <v>0</v>
      </c>
      <c r="AQ31">
        <v>202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627</v>
      </c>
      <c r="AX31">
        <v>0</v>
      </c>
      <c r="AY31">
        <v>0</v>
      </c>
      <c r="AZ31">
        <v>3049</v>
      </c>
      <c r="BA31">
        <v>0</v>
      </c>
      <c r="BB31">
        <v>0</v>
      </c>
      <c r="BC31">
        <v>2852</v>
      </c>
      <c r="BD31">
        <v>0</v>
      </c>
      <c r="BE31">
        <v>0</v>
      </c>
      <c r="BF31">
        <v>1386</v>
      </c>
      <c r="BG31">
        <v>0</v>
      </c>
      <c r="BH31">
        <v>0</v>
      </c>
      <c r="BI31">
        <v>56</v>
      </c>
      <c r="BJ31">
        <v>0</v>
      </c>
      <c r="BK31">
        <v>0</v>
      </c>
      <c r="BL31">
        <v>679</v>
      </c>
      <c r="BM31">
        <v>0</v>
      </c>
      <c r="BN31">
        <v>0</v>
      </c>
      <c r="BO31">
        <v>81</v>
      </c>
      <c r="BP31">
        <v>0</v>
      </c>
      <c r="BQ31">
        <v>0</v>
      </c>
      <c r="BR31">
        <v>565</v>
      </c>
      <c r="BS31">
        <v>0</v>
      </c>
      <c r="BT31">
        <v>0</v>
      </c>
      <c r="BU31">
        <v>810</v>
      </c>
      <c r="BV31">
        <v>0</v>
      </c>
      <c r="BW31">
        <v>0</v>
      </c>
      <c r="BX31">
        <v>6157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123</v>
      </c>
      <c r="CE31">
        <v>0</v>
      </c>
      <c r="CF31">
        <v>0</v>
      </c>
      <c r="CG31">
        <v>2262</v>
      </c>
      <c r="CH31">
        <v>0</v>
      </c>
      <c r="CI31">
        <v>0</v>
      </c>
      <c r="CJ31">
        <v>345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3427</v>
      </c>
      <c r="DB31">
        <v>0</v>
      </c>
      <c r="DC31">
        <v>0</v>
      </c>
      <c r="DD31">
        <v>3539</v>
      </c>
      <c r="DE31">
        <v>0</v>
      </c>
      <c r="DF31">
        <v>0</v>
      </c>
      <c r="DG31">
        <v>81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47348</v>
      </c>
      <c r="DN31">
        <v>301</v>
      </c>
      <c r="DO31">
        <v>729</v>
      </c>
      <c r="DP31">
        <v>781</v>
      </c>
      <c r="DQ31">
        <v>2702</v>
      </c>
      <c r="DR31">
        <v>42835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52867</v>
      </c>
      <c r="DZ31">
        <v>857</v>
      </c>
      <c r="EA31">
        <v>950</v>
      </c>
      <c r="EB31">
        <v>1159</v>
      </c>
      <c r="EC31">
        <v>4728</v>
      </c>
      <c r="ED31">
        <v>45174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5519</v>
      </c>
      <c r="EL31">
        <v>556</v>
      </c>
      <c r="EM31">
        <v>221</v>
      </c>
      <c r="EN31">
        <v>377</v>
      </c>
      <c r="EO31">
        <v>2026</v>
      </c>
      <c r="EP31">
        <v>2339</v>
      </c>
      <c r="EQ31">
        <v>0</v>
      </c>
      <c r="ER31">
        <v>0</v>
      </c>
      <c r="ES31">
        <v>0</v>
      </c>
      <c r="ET31">
        <v>7109</v>
      </c>
      <c r="EU31">
        <v>0</v>
      </c>
      <c r="EV31">
        <v>0</v>
      </c>
      <c r="EW31">
        <v>0</v>
      </c>
    </row>
    <row r="32" spans="1:153" ht="18" x14ac:dyDescent="0.2">
      <c r="A32" t="s">
        <v>120</v>
      </c>
      <c r="B32" t="s">
        <v>121</v>
      </c>
      <c r="C32" t="s">
        <v>206</v>
      </c>
      <c r="D32" t="s">
        <v>235</v>
      </c>
      <c r="E32" t="s">
        <v>245</v>
      </c>
      <c r="G32">
        <v>0</v>
      </c>
      <c r="I32" s="2">
        <v>0</v>
      </c>
      <c r="K32">
        <v>16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5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6</v>
      </c>
      <c r="AF32">
        <v>0</v>
      </c>
      <c r="AG32">
        <v>0</v>
      </c>
      <c r="AH32">
        <v>196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86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65</v>
      </c>
      <c r="AX32">
        <v>0</v>
      </c>
      <c r="AY32">
        <v>0</v>
      </c>
      <c r="AZ32">
        <v>139</v>
      </c>
      <c r="BA32">
        <v>0</v>
      </c>
      <c r="BB32">
        <v>0</v>
      </c>
      <c r="BC32">
        <v>135</v>
      </c>
      <c r="BD32">
        <v>0</v>
      </c>
      <c r="BE32">
        <v>0</v>
      </c>
      <c r="BF32">
        <v>138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164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25</v>
      </c>
      <c r="CE32">
        <v>0</v>
      </c>
      <c r="CF32">
        <v>0</v>
      </c>
      <c r="CG32">
        <v>186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186</v>
      </c>
      <c r="DB32">
        <v>0</v>
      </c>
      <c r="DC32">
        <v>0</v>
      </c>
      <c r="DD32">
        <v>159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937</v>
      </c>
      <c r="DN32">
        <v>85</v>
      </c>
      <c r="DO32">
        <v>26</v>
      </c>
      <c r="DP32">
        <v>75</v>
      </c>
      <c r="DQ32">
        <v>194</v>
      </c>
      <c r="DR32">
        <v>558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1343</v>
      </c>
      <c r="DZ32">
        <v>85</v>
      </c>
      <c r="EA32">
        <v>26</v>
      </c>
      <c r="EB32">
        <v>98</v>
      </c>
      <c r="EC32">
        <v>327</v>
      </c>
      <c r="ED32">
        <v>807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406</v>
      </c>
      <c r="EL32">
        <v>0</v>
      </c>
      <c r="EM32">
        <v>0</v>
      </c>
      <c r="EN32">
        <v>23</v>
      </c>
      <c r="EO32">
        <v>133</v>
      </c>
      <c r="EP32">
        <v>249</v>
      </c>
      <c r="EQ32">
        <v>0</v>
      </c>
      <c r="ER32">
        <v>0</v>
      </c>
      <c r="ES32">
        <v>0</v>
      </c>
      <c r="ET32">
        <v>332</v>
      </c>
      <c r="EU32">
        <v>0</v>
      </c>
      <c r="EV32">
        <v>0</v>
      </c>
      <c r="EW32">
        <v>0</v>
      </c>
    </row>
    <row r="33" spans="1:153" ht="18" x14ac:dyDescent="0.2">
      <c r="A33" t="s">
        <v>122</v>
      </c>
      <c r="B33" t="s">
        <v>123</v>
      </c>
      <c r="C33" t="s">
        <v>206</v>
      </c>
      <c r="D33" t="s">
        <v>235</v>
      </c>
      <c r="E33" t="s">
        <v>245</v>
      </c>
      <c r="G33">
        <v>0</v>
      </c>
      <c r="I33" s="2">
        <v>0</v>
      </c>
      <c r="K33">
        <v>213</v>
      </c>
      <c r="M33">
        <v>231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6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284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130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130</v>
      </c>
      <c r="DB33">
        <v>0</v>
      </c>
      <c r="DC33">
        <v>0</v>
      </c>
      <c r="DD33">
        <v>7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293</v>
      </c>
      <c r="DN33">
        <v>0</v>
      </c>
      <c r="DO33">
        <v>0</v>
      </c>
      <c r="DP33">
        <v>0</v>
      </c>
      <c r="DQ33">
        <v>3</v>
      </c>
      <c r="DR33">
        <v>290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637</v>
      </c>
      <c r="DZ33">
        <v>0</v>
      </c>
      <c r="EA33">
        <v>0</v>
      </c>
      <c r="EB33">
        <v>0</v>
      </c>
      <c r="EC33">
        <v>3</v>
      </c>
      <c r="ED33">
        <v>633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343</v>
      </c>
      <c r="EL33">
        <v>0</v>
      </c>
      <c r="EM33">
        <v>0</v>
      </c>
      <c r="EN33">
        <v>0</v>
      </c>
      <c r="EO33">
        <v>0</v>
      </c>
      <c r="EP33">
        <v>343</v>
      </c>
      <c r="EQ33">
        <v>0</v>
      </c>
      <c r="ER33">
        <v>0</v>
      </c>
      <c r="ES33">
        <v>0</v>
      </c>
      <c r="ET33">
        <v>287</v>
      </c>
      <c r="EU33">
        <v>0</v>
      </c>
      <c r="EV33">
        <v>0</v>
      </c>
      <c r="EW33">
        <v>0</v>
      </c>
    </row>
    <row r="34" spans="1:153" ht="18" x14ac:dyDescent="0.2">
      <c r="A34" t="s">
        <v>124</v>
      </c>
      <c r="B34" t="s">
        <v>125</v>
      </c>
      <c r="C34" t="s">
        <v>206</v>
      </c>
      <c r="D34" t="s">
        <v>235</v>
      </c>
      <c r="E34" t="s">
        <v>245</v>
      </c>
      <c r="G34">
        <v>608</v>
      </c>
      <c r="I34" s="2">
        <v>439</v>
      </c>
      <c r="K34">
        <v>902</v>
      </c>
      <c r="M34">
        <v>957</v>
      </c>
      <c r="N34">
        <v>5909</v>
      </c>
      <c r="O34">
        <v>137</v>
      </c>
      <c r="P34">
        <v>2928</v>
      </c>
      <c r="Q34">
        <v>3432</v>
      </c>
      <c r="R34">
        <v>96</v>
      </c>
      <c r="S34">
        <v>20</v>
      </c>
      <c r="T34">
        <v>241</v>
      </c>
      <c r="U34">
        <v>49</v>
      </c>
      <c r="V34">
        <v>670</v>
      </c>
      <c r="W34">
        <v>1493</v>
      </c>
      <c r="X34">
        <v>539</v>
      </c>
      <c r="Y34">
        <v>525</v>
      </c>
      <c r="Z34">
        <v>31833</v>
      </c>
      <c r="AA34">
        <v>111</v>
      </c>
      <c r="AB34">
        <v>3609</v>
      </c>
      <c r="AC34">
        <v>3937</v>
      </c>
      <c r="AD34">
        <v>70</v>
      </c>
      <c r="AE34">
        <v>215</v>
      </c>
      <c r="AF34">
        <v>529</v>
      </c>
      <c r="AG34">
        <v>129</v>
      </c>
      <c r="AH34">
        <v>18523</v>
      </c>
      <c r="AI34">
        <v>21558</v>
      </c>
      <c r="AJ34">
        <v>132</v>
      </c>
      <c r="AK34">
        <v>4103</v>
      </c>
      <c r="AL34">
        <v>6554</v>
      </c>
      <c r="AM34">
        <v>373</v>
      </c>
      <c r="AN34">
        <v>1531</v>
      </c>
      <c r="AO34">
        <v>3135</v>
      </c>
      <c r="AP34">
        <v>275</v>
      </c>
      <c r="AQ34">
        <v>808</v>
      </c>
      <c r="AR34">
        <v>3041</v>
      </c>
      <c r="AS34">
        <v>51</v>
      </c>
      <c r="AT34">
        <v>1291</v>
      </c>
      <c r="AU34">
        <v>1431</v>
      </c>
      <c r="AV34">
        <v>1665</v>
      </c>
      <c r="AW34">
        <v>2706</v>
      </c>
      <c r="AX34">
        <v>6438</v>
      </c>
      <c r="AY34">
        <v>1182</v>
      </c>
      <c r="AZ34">
        <v>2340</v>
      </c>
      <c r="BA34">
        <v>10539</v>
      </c>
      <c r="BB34">
        <v>236</v>
      </c>
      <c r="BC34">
        <v>24731</v>
      </c>
      <c r="BD34">
        <v>59293</v>
      </c>
      <c r="BE34">
        <v>146</v>
      </c>
      <c r="BF34">
        <v>465</v>
      </c>
      <c r="BG34">
        <v>14586</v>
      </c>
      <c r="BH34">
        <v>36</v>
      </c>
      <c r="BI34">
        <v>236</v>
      </c>
      <c r="BJ34">
        <v>738</v>
      </c>
      <c r="BK34">
        <v>106</v>
      </c>
      <c r="BL34">
        <v>3632</v>
      </c>
      <c r="BM34">
        <v>20211</v>
      </c>
      <c r="BN34">
        <v>74</v>
      </c>
      <c r="BO34">
        <v>601</v>
      </c>
      <c r="BP34">
        <v>1912</v>
      </c>
      <c r="BQ34">
        <v>147</v>
      </c>
      <c r="BR34">
        <v>15172</v>
      </c>
      <c r="BS34">
        <v>16756</v>
      </c>
      <c r="BT34">
        <v>84</v>
      </c>
      <c r="BU34">
        <v>2031</v>
      </c>
      <c r="BV34">
        <v>3024</v>
      </c>
      <c r="BW34">
        <v>163</v>
      </c>
      <c r="BX34">
        <v>26241</v>
      </c>
      <c r="BY34">
        <v>46672</v>
      </c>
      <c r="BZ34">
        <v>54</v>
      </c>
      <c r="CA34">
        <v>1381</v>
      </c>
      <c r="CB34">
        <v>1708</v>
      </c>
      <c r="CC34">
        <v>1</v>
      </c>
      <c r="CD34">
        <v>7958</v>
      </c>
      <c r="CE34">
        <v>10503</v>
      </c>
      <c r="CF34">
        <v>80</v>
      </c>
      <c r="CG34">
        <v>16219</v>
      </c>
      <c r="CH34">
        <v>27060</v>
      </c>
      <c r="CI34">
        <v>77</v>
      </c>
      <c r="CJ34">
        <v>16561</v>
      </c>
      <c r="CK34">
        <v>17453</v>
      </c>
      <c r="CL34">
        <v>18982</v>
      </c>
      <c r="CM34">
        <v>12677</v>
      </c>
      <c r="CN34">
        <v>8591</v>
      </c>
      <c r="CO34">
        <v>49793</v>
      </c>
      <c r="CP34">
        <v>23754</v>
      </c>
      <c r="CQ34">
        <v>467</v>
      </c>
      <c r="CR34">
        <v>89162</v>
      </c>
      <c r="CS34">
        <v>57306</v>
      </c>
      <c r="CT34">
        <v>3844</v>
      </c>
      <c r="CU34">
        <v>60348</v>
      </c>
      <c r="CV34">
        <v>41114</v>
      </c>
      <c r="CW34">
        <v>4463</v>
      </c>
      <c r="CX34">
        <v>66988</v>
      </c>
      <c r="CY34">
        <v>10025</v>
      </c>
      <c r="CZ34">
        <v>296</v>
      </c>
      <c r="DA34">
        <v>22354</v>
      </c>
      <c r="DB34">
        <v>36638</v>
      </c>
      <c r="DC34">
        <v>384</v>
      </c>
      <c r="DD34">
        <v>47861</v>
      </c>
      <c r="DE34">
        <v>86551</v>
      </c>
      <c r="DF34">
        <v>178</v>
      </c>
      <c r="DG34">
        <v>3273</v>
      </c>
      <c r="DH34">
        <v>5052</v>
      </c>
      <c r="DI34">
        <v>1190</v>
      </c>
      <c r="DJ34">
        <v>1710</v>
      </c>
      <c r="DK34">
        <v>1907</v>
      </c>
      <c r="DL34">
        <v>4808</v>
      </c>
      <c r="DM34">
        <v>104695</v>
      </c>
      <c r="DN34">
        <v>1145</v>
      </c>
      <c r="DO34">
        <v>2596</v>
      </c>
      <c r="DP34">
        <v>3153</v>
      </c>
      <c r="DQ34">
        <v>4461</v>
      </c>
      <c r="DR34">
        <v>93340</v>
      </c>
      <c r="DS34">
        <v>244071</v>
      </c>
      <c r="DT34">
        <v>211128</v>
      </c>
      <c r="DU34">
        <v>1459</v>
      </c>
      <c r="DV34">
        <v>2761</v>
      </c>
      <c r="DW34">
        <v>2459</v>
      </c>
      <c r="DX34">
        <v>6678</v>
      </c>
      <c r="DY34">
        <v>155447</v>
      </c>
      <c r="DZ34">
        <v>1714</v>
      </c>
      <c r="EA34">
        <v>3052</v>
      </c>
      <c r="EB34">
        <v>4745</v>
      </c>
      <c r="EC34">
        <v>7225</v>
      </c>
      <c r="ED34">
        <v>138711</v>
      </c>
      <c r="EE34">
        <v>320943</v>
      </c>
      <c r="EF34">
        <v>13883</v>
      </c>
      <c r="EG34">
        <v>268</v>
      </c>
      <c r="EH34">
        <v>1050</v>
      </c>
      <c r="EI34">
        <v>551</v>
      </c>
      <c r="EJ34">
        <v>1870</v>
      </c>
      <c r="EK34">
        <v>50752</v>
      </c>
      <c r="EL34">
        <v>569</v>
      </c>
      <c r="EM34">
        <v>456</v>
      </c>
      <c r="EN34">
        <v>1592</v>
      </c>
      <c r="EO34">
        <v>2764</v>
      </c>
      <c r="EP34">
        <v>45371</v>
      </c>
      <c r="EQ34">
        <v>76871</v>
      </c>
      <c r="ER34">
        <v>122590</v>
      </c>
      <c r="ES34">
        <v>297</v>
      </c>
      <c r="ET34">
        <v>42850</v>
      </c>
      <c r="EU34">
        <v>65082</v>
      </c>
      <c r="EV34">
        <v>82138</v>
      </c>
      <c r="EW34">
        <v>31659</v>
      </c>
    </row>
    <row r="35" spans="1:153" ht="18" x14ac:dyDescent="0.2">
      <c r="A35" t="s">
        <v>126</v>
      </c>
      <c r="B35" t="s">
        <v>127</v>
      </c>
      <c r="C35" t="s">
        <v>207</v>
      </c>
      <c r="D35" t="s">
        <v>234</v>
      </c>
      <c r="E35" t="s">
        <v>245</v>
      </c>
      <c r="F35">
        <f>F28+G29+G30+G31+G32+G33+G34</f>
        <v>4835</v>
      </c>
      <c r="G35">
        <v>4835</v>
      </c>
      <c r="H35">
        <f>H28+I29+I30+I31+I32+I33+I34</f>
        <v>3863</v>
      </c>
      <c r="I35" s="2">
        <v>3863</v>
      </c>
      <c r="J35">
        <f>J28+K29+K30+K31+K32+K33+K34</f>
        <v>23193</v>
      </c>
      <c r="K35">
        <v>23193</v>
      </c>
      <c r="L35">
        <f>L28+M29+M30+M31+M32+M33+M34</f>
        <v>20955</v>
      </c>
      <c r="M35">
        <v>20955</v>
      </c>
      <c r="N35">
        <v>28028</v>
      </c>
      <c r="O35">
        <v>619</v>
      </c>
      <c r="P35">
        <v>27290</v>
      </c>
      <c r="Q35">
        <v>27909</v>
      </c>
      <c r="R35">
        <v>765</v>
      </c>
      <c r="S35">
        <v>1228</v>
      </c>
      <c r="T35">
        <v>1993</v>
      </c>
      <c r="U35">
        <v>284</v>
      </c>
      <c r="V35">
        <v>14794</v>
      </c>
      <c r="W35">
        <v>15078</v>
      </c>
      <c r="X35">
        <v>2275</v>
      </c>
      <c r="Y35">
        <v>37626</v>
      </c>
      <c r="Z35">
        <v>39901</v>
      </c>
      <c r="AA35">
        <v>1074</v>
      </c>
      <c r="AB35">
        <v>7367</v>
      </c>
      <c r="AC35">
        <v>8441</v>
      </c>
      <c r="AD35">
        <v>1003</v>
      </c>
      <c r="AE35">
        <v>2318</v>
      </c>
      <c r="AF35">
        <v>3321</v>
      </c>
      <c r="AG35">
        <v>431</v>
      </c>
      <c r="AH35">
        <v>39944</v>
      </c>
      <c r="AI35">
        <v>40375</v>
      </c>
      <c r="AJ35">
        <v>1511</v>
      </c>
      <c r="AK35">
        <v>18287</v>
      </c>
      <c r="AL35">
        <v>19799</v>
      </c>
      <c r="AM35">
        <v>2327</v>
      </c>
      <c r="AN35">
        <v>15957</v>
      </c>
      <c r="AO35">
        <v>18285</v>
      </c>
      <c r="AP35">
        <v>1619</v>
      </c>
      <c r="AQ35">
        <v>12748</v>
      </c>
      <c r="AR35">
        <v>14367</v>
      </c>
      <c r="AS35">
        <v>375</v>
      </c>
      <c r="AT35">
        <v>2211</v>
      </c>
      <c r="AU35">
        <v>2586</v>
      </c>
      <c r="AV35">
        <v>10511</v>
      </c>
      <c r="AW35">
        <v>18284</v>
      </c>
      <c r="AX35">
        <v>28795</v>
      </c>
      <c r="AY35">
        <v>5840</v>
      </c>
      <c r="AZ35">
        <v>38796</v>
      </c>
      <c r="BA35">
        <v>44635</v>
      </c>
      <c r="BB35">
        <v>3594</v>
      </c>
      <c r="BC35">
        <v>122340</v>
      </c>
      <c r="BD35">
        <v>125934</v>
      </c>
      <c r="BE35">
        <v>1344</v>
      </c>
      <c r="BF35">
        <v>29495</v>
      </c>
      <c r="BG35">
        <v>30838</v>
      </c>
      <c r="BH35">
        <v>968</v>
      </c>
      <c r="BI35">
        <v>3959</v>
      </c>
      <c r="BJ35">
        <v>4927</v>
      </c>
      <c r="BK35">
        <v>1995</v>
      </c>
      <c r="BL35">
        <v>39277</v>
      </c>
      <c r="BM35">
        <v>41272</v>
      </c>
      <c r="BN35">
        <v>452</v>
      </c>
      <c r="BO35">
        <v>9373</v>
      </c>
      <c r="BP35">
        <v>9825</v>
      </c>
      <c r="BQ35">
        <v>498</v>
      </c>
      <c r="BR35">
        <v>48864</v>
      </c>
      <c r="BS35">
        <v>49362</v>
      </c>
      <c r="BT35">
        <v>479</v>
      </c>
      <c r="BU35">
        <v>27357</v>
      </c>
      <c r="BV35">
        <v>27836</v>
      </c>
      <c r="BW35">
        <v>1394</v>
      </c>
      <c r="BX35">
        <v>118145</v>
      </c>
      <c r="BY35">
        <v>119539</v>
      </c>
      <c r="BZ35">
        <v>643</v>
      </c>
      <c r="CA35">
        <v>8855</v>
      </c>
      <c r="CB35">
        <v>9498</v>
      </c>
      <c r="CC35">
        <v>372</v>
      </c>
      <c r="CD35">
        <v>28305</v>
      </c>
      <c r="CE35">
        <v>28677</v>
      </c>
      <c r="CF35">
        <v>809</v>
      </c>
      <c r="CG35">
        <v>99546</v>
      </c>
      <c r="CH35">
        <v>100356</v>
      </c>
      <c r="CI35">
        <v>525</v>
      </c>
      <c r="CJ35">
        <v>41067</v>
      </c>
      <c r="CK35">
        <v>41592</v>
      </c>
      <c r="CL35">
        <v>68964</v>
      </c>
      <c r="CM35">
        <v>54539</v>
      </c>
      <c r="CN35">
        <v>21390</v>
      </c>
      <c r="CO35">
        <v>114879</v>
      </c>
      <c r="CP35">
        <v>93972</v>
      </c>
      <c r="CQ35">
        <v>4112</v>
      </c>
      <c r="CR35">
        <v>179311</v>
      </c>
      <c r="CS35">
        <v>107539</v>
      </c>
      <c r="CT35">
        <v>44019</v>
      </c>
      <c r="CU35">
        <v>89273</v>
      </c>
      <c r="CV35">
        <v>105656</v>
      </c>
      <c r="CW35">
        <v>19477</v>
      </c>
      <c r="CX35">
        <v>112304</v>
      </c>
      <c r="CY35">
        <v>36846</v>
      </c>
      <c r="CZ35">
        <v>2799</v>
      </c>
      <c r="DA35">
        <v>145191</v>
      </c>
      <c r="DB35">
        <v>147990</v>
      </c>
      <c r="DC35">
        <v>4465</v>
      </c>
      <c r="DD35">
        <v>199509</v>
      </c>
      <c r="DE35">
        <v>203974</v>
      </c>
      <c r="DF35">
        <v>1470</v>
      </c>
      <c r="DG35">
        <v>20439</v>
      </c>
      <c r="DH35">
        <v>21909</v>
      </c>
      <c r="DI35">
        <v>9423</v>
      </c>
      <c r="DJ35">
        <v>12892</v>
      </c>
      <c r="DK35">
        <v>10605</v>
      </c>
      <c r="DL35">
        <v>32920</v>
      </c>
      <c r="DM35">
        <v>562518</v>
      </c>
      <c r="DN35">
        <v>9445</v>
      </c>
      <c r="DO35">
        <v>16431</v>
      </c>
      <c r="DP35">
        <v>20413</v>
      </c>
      <c r="DQ35">
        <v>63903</v>
      </c>
      <c r="DR35">
        <v>452326</v>
      </c>
      <c r="DS35">
        <v>595438</v>
      </c>
      <c r="DT35">
        <v>424254</v>
      </c>
      <c r="DU35">
        <v>12603</v>
      </c>
      <c r="DV35">
        <v>19079</v>
      </c>
      <c r="DW35">
        <v>15375</v>
      </c>
      <c r="DX35">
        <v>47057</v>
      </c>
      <c r="DY35">
        <v>839800</v>
      </c>
      <c r="DZ35">
        <v>16212</v>
      </c>
      <c r="EA35">
        <v>23446</v>
      </c>
      <c r="EB35">
        <v>36882</v>
      </c>
      <c r="EC35">
        <v>97901</v>
      </c>
      <c r="ED35">
        <v>665359</v>
      </c>
      <c r="EE35">
        <v>886857</v>
      </c>
      <c r="EF35">
        <v>52340</v>
      </c>
      <c r="EG35">
        <v>3180</v>
      </c>
      <c r="EH35">
        <v>6187</v>
      </c>
      <c r="EI35">
        <v>4770</v>
      </c>
      <c r="EJ35">
        <v>14137</v>
      </c>
      <c r="EK35">
        <v>277282</v>
      </c>
      <c r="EL35">
        <v>6767</v>
      </c>
      <c r="EM35">
        <v>7015</v>
      </c>
      <c r="EN35">
        <v>16469</v>
      </c>
      <c r="EO35">
        <v>33998</v>
      </c>
      <c r="EP35">
        <v>213033</v>
      </c>
      <c r="EQ35">
        <v>291419</v>
      </c>
      <c r="ER35">
        <v>274283</v>
      </c>
      <c r="ES35">
        <v>2433</v>
      </c>
      <c r="ET35">
        <v>162387</v>
      </c>
      <c r="EU35">
        <v>164820</v>
      </c>
      <c r="EV35">
        <v>230240</v>
      </c>
      <c r="EW35">
        <v>123503</v>
      </c>
    </row>
    <row r="36" spans="1:153" ht="18" x14ac:dyDescent="0.2">
      <c r="A36" t="s">
        <v>128</v>
      </c>
      <c r="B36" t="s">
        <v>129</v>
      </c>
      <c r="C36" t="s">
        <v>208</v>
      </c>
      <c r="D36" t="s">
        <v>235</v>
      </c>
      <c r="E36" t="s">
        <v>245</v>
      </c>
      <c r="G36">
        <v>0</v>
      </c>
      <c r="I36" s="2">
        <v>0</v>
      </c>
      <c r="K36">
        <v>25</v>
      </c>
      <c r="M36">
        <v>250</v>
      </c>
      <c r="N36">
        <v>0</v>
      </c>
      <c r="O36">
        <v>0</v>
      </c>
      <c r="P36">
        <v>64</v>
      </c>
      <c r="Q36">
        <v>0</v>
      </c>
      <c r="R36">
        <v>0</v>
      </c>
      <c r="S36">
        <v>215</v>
      </c>
      <c r="T36">
        <v>0</v>
      </c>
      <c r="U36">
        <v>0</v>
      </c>
      <c r="V36">
        <v>22</v>
      </c>
      <c r="W36">
        <v>0</v>
      </c>
      <c r="X36">
        <v>0</v>
      </c>
      <c r="Y36">
        <v>166</v>
      </c>
      <c r="Z36">
        <v>0</v>
      </c>
      <c r="AA36">
        <v>0</v>
      </c>
      <c r="AB36">
        <v>3</v>
      </c>
      <c r="AC36">
        <v>0</v>
      </c>
      <c r="AD36">
        <v>0</v>
      </c>
      <c r="AE36">
        <v>4</v>
      </c>
      <c r="AF36">
        <v>0</v>
      </c>
      <c r="AG36">
        <v>0</v>
      </c>
      <c r="AH36">
        <v>162</v>
      </c>
      <c r="AI36">
        <v>0</v>
      </c>
      <c r="AJ36">
        <v>0</v>
      </c>
      <c r="AK36">
        <v>42</v>
      </c>
      <c r="AL36">
        <v>0</v>
      </c>
      <c r="AM36">
        <v>0</v>
      </c>
      <c r="AN36">
        <v>1570</v>
      </c>
      <c r="AO36">
        <v>0</v>
      </c>
      <c r="AP36">
        <v>0</v>
      </c>
      <c r="AQ36">
        <v>46</v>
      </c>
      <c r="AR36">
        <v>0</v>
      </c>
      <c r="AS36">
        <v>0</v>
      </c>
      <c r="AT36">
        <v>2</v>
      </c>
      <c r="AU36">
        <v>0</v>
      </c>
      <c r="AV36">
        <v>0</v>
      </c>
      <c r="AW36">
        <v>567</v>
      </c>
      <c r="AX36">
        <v>0</v>
      </c>
      <c r="AY36">
        <v>0</v>
      </c>
      <c r="AZ36">
        <v>78</v>
      </c>
      <c r="BA36">
        <v>0</v>
      </c>
      <c r="BB36">
        <v>0</v>
      </c>
      <c r="BC36">
        <v>915</v>
      </c>
      <c r="BD36">
        <v>0</v>
      </c>
      <c r="BE36">
        <v>0</v>
      </c>
      <c r="BF36">
        <v>284</v>
      </c>
      <c r="BG36">
        <v>0</v>
      </c>
      <c r="BH36">
        <v>0</v>
      </c>
      <c r="BI36">
        <v>63</v>
      </c>
      <c r="BJ36">
        <v>0</v>
      </c>
      <c r="BK36">
        <v>0</v>
      </c>
      <c r="BL36">
        <v>232</v>
      </c>
      <c r="BM36">
        <v>0</v>
      </c>
      <c r="BN36">
        <v>0</v>
      </c>
      <c r="BO36">
        <v>95</v>
      </c>
      <c r="BP36">
        <v>0</v>
      </c>
      <c r="BQ36">
        <v>0</v>
      </c>
      <c r="BR36">
        <v>54</v>
      </c>
      <c r="BS36">
        <v>0</v>
      </c>
      <c r="BT36">
        <v>0</v>
      </c>
      <c r="BU36">
        <v>20</v>
      </c>
      <c r="BV36">
        <v>0</v>
      </c>
      <c r="BW36">
        <v>0</v>
      </c>
      <c r="BX36">
        <v>229</v>
      </c>
      <c r="BY36">
        <v>0</v>
      </c>
      <c r="BZ36">
        <v>0</v>
      </c>
      <c r="CA36">
        <v>5</v>
      </c>
      <c r="CB36">
        <v>0</v>
      </c>
      <c r="CC36">
        <v>0</v>
      </c>
      <c r="CD36">
        <v>141</v>
      </c>
      <c r="CE36">
        <v>0</v>
      </c>
      <c r="CF36">
        <v>0</v>
      </c>
      <c r="CG36">
        <v>23</v>
      </c>
      <c r="CH36">
        <v>0</v>
      </c>
      <c r="CI36">
        <v>0</v>
      </c>
      <c r="CJ36">
        <v>40374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85</v>
      </c>
      <c r="DB36">
        <v>0</v>
      </c>
      <c r="DC36">
        <v>0</v>
      </c>
      <c r="DD36">
        <v>1111</v>
      </c>
      <c r="DE36">
        <v>0</v>
      </c>
      <c r="DF36">
        <v>0</v>
      </c>
      <c r="DG36">
        <v>102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70818</v>
      </c>
      <c r="DN36">
        <v>308</v>
      </c>
      <c r="DO36">
        <v>198</v>
      </c>
      <c r="DP36">
        <v>411</v>
      </c>
      <c r="DQ36">
        <v>681</v>
      </c>
      <c r="DR36">
        <v>69219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72968</v>
      </c>
      <c r="DZ36">
        <v>491</v>
      </c>
      <c r="EA36">
        <v>436</v>
      </c>
      <c r="EB36">
        <v>1863</v>
      </c>
      <c r="EC36">
        <v>774</v>
      </c>
      <c r="ED36">
        <v>69405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2151</v>
      </c>
      <c r="EL36">
        <v>183</v>
      </c>
      <c r="EM36">
        <v>238</v>
      </c>
      <c r="EN36">
        <v>1452</v>
      </c>
      <c r="EO36">
        <v>93</v>
      </c>
      <c r="EP36">
        <v>186</v>
      </c>
      <c r="EQ36">
        <v>0</v>
      </c>
      <c r="ER36">
        <v>0</v>
      </c>
      <c r="ES36">
        <v>0</v>
      </c>
      <c r="ET36">
        <v>68168</v>
      </c>
      <c r="EU36">
        <v>0</v>
      </c>
      <c r="EV36">
        <v>0</v>
      </c>
      <c r="EW36">
        <v>0</v>
      </c>
    </row>
    <row r="37" spans="1:153" ht="18" x14ac:dyDescent="0.2">
      <c r="A37" t="s">
        <v>130</v>
      </c>
      <c r="B37" t="s">
        <v>195</v>
      </c>
      <c r="C37" t="s">
        <v>208</v>
      </c>
      <c r="D37" t="s">
        <v>235</v>
      </c>
      <c r="E37" t="s">
        <v>245</v>
      </c>
      <c r="G37">
        <v>3785</v>
      </c>
      <c r="I37" s="2">
        <v>3950</v>
      </c>
      <c r="K37">
        <v>54986</v>
      </c>
      <c r="M37">
        <v>52814</v>
      </c>
      <c r="N37">
        <v>58796</v>
      </c>
      <c r="O37">
        <v>378</v>
      </c>
      <c r="P37">
        <v>19934</v>
      </c>
      <c r="Q37">
        <v>20376</v>
      </c>
      <c r="R37">
        <v>470</v>
      </c>
      <c r="S37">
        <v>4746</v>
      </c>
      <c r="T37">
        <v>5431</v>
      </c>
      <c r="U37">
        <v>425</v>
      </c>
      <c r="V37">
        <v>9051</v>
      </c>
      <c r="W37">
        <v>9498</v>
      </c>
      <c r="X37">
        <v>1377</v>
      </c>
      <c r="Y37">
        <v>7369</v>
      </c>
      <c r="Z37">
        <v>8913</v>
      </c>
      <c r="AA37">
        <v>1518</v>
      </c>
      <c r="AB37">
        <v>12822</v>
      </c>
      <c r="AC37">
        <v>14342</v>
      </c>
      <c r="AD37">
        <v>1677</v>
      </c>
      <c r="AE37">
        <v>4555</v>
      </c>
      <c r="AF37">
        <v>6236</v>
      </c>
      <c r="AG37">
        <v>273</v>
      </c>
      <c r="AH37">
        <v>91699</v>
      </c>
      <c r="AI37">
        <v>92134</v>
      </c>
      <c r="AJ37">
        <v>1861</v>
      </c>
      <c r="AK37">
        <v>39642</v>
      </c>
      <c r="AL37">
        <v>41545</v>
      </c>
      <c r="AM37">
        <v>2732</v>
      </c>
      <c r="AN37">
        <v>31219</v>
      </c>
      <c r="AO37">
        <v>35521</v>
      </c>
      <c r="AP37">
        <v>1711</v>
      </c>
      <c r="AQ37">
        <v>20443</v>
      </c>
      <c r="AR37">
        <v>22200</v>
      </c>
      <c r="AS37">
        <v>453</v>
      </c>
      <c r="AT37">
        <v>3352</v>
      </c>
      <c r="AU37">
        <v>3808</v>
      </c>
      <c r="AV37">
        <v>11491</v>
      </c>
      <c r="AW37">
        <v>23798</v>
      </c>
      <c r="AX37">
        <v>35856</v>
      </c>
      <c r="AY37">
        <v>5238</v>
      </c>
      <c r="AZ37">
        <v>57078</v>
      </c>
      <c r="BA37">
        <v>62394</v>
      </c>
      <c r="BB37">
        <v>2152</v>
      </c>
      <c r="BC37">
        <v>66356</v>
      </c>
      <c r="BD37">
        <v>69423</v>
      </c>
      <c r="BE37">
        <v>1831</v>
      </c>
      <c r="BF37">
        <v>26895</v>
      </c>
      <c r="BG37">
        <v>29010</v>
      </c>
      <c r="BH37">
        <v>1260</v>
      </c>
      <c r="BI37">
        <v>6213</v>
      </c>
      <c r="BJ37">
        <v>7536</v>
      </c>
      <c r="BK37">
        <v>1920</v>
      </c>
      <c r="BL37">
        <v>38225</v>
      </c>
      <c r="BM37">
        <v>40377</v>
      </c>
      <c r="BN37">
        <v>555</v>
      </c>
      <c r="BO37">
        <v>15933</v>
      </c>
      <c r="BP37">
        <v>16584</v>
      </c>
      <c r="BQ37">
        <v>221</v>
      </c>
      <c r="BR37">
        <v>30049</v>
      </c>
      <c r="BS37">
        <v>30323</v>
      </c>
      <c r="BT37">
        <v>910</v>
      </c>
      <c r="BU37">
        <v>37688</v>
      </c>
      <c r="BV37">
        <v>38618</v>
      </c>
      <c r="BW37">
        <v>1584</v>
      </c>
      <c r="BX37">
        <v>62245</v>
      </c>
      <c r="BY37">
        <v>64058</v>
      </c>
      <c r="BZ37">
        <v>821</v>
      </c>
      <c r="CA37">
        <v>14288</v>
      </c>
      <c r="CB37">
        <v>15114</v>
      </c>
      <c r="CC37">
        <v>304</v>
      </c>
      <c r="CD37">
        <v>18885</v>
      </c>
      <c r="CE37">
        <v>19330</v>
      </c>
      <c r="CF37">
        <v>733</v>
      </c>
      <c r="CG37">
        <v>125158</v>
      </c>
      <c r="CH37">
        <v>125913</v>
      </c>
      <c r="CI37">
        <v>468</v>
      </c>
      <c r="CJ37">
        <v>27855</v>
      </c>
      <c r="CK37">
        <v>68697</v>
      </c>
      <c r="CL37">
        <v>201764</v>
      </c>
      <c r="CM37">
        <v>165994</v>
      </c>
      <c r="CN37">
        <v>8117</v>
      </c>
      <c r="CO37">
        <v>54586</v>
      </c>
      <c r="CP37">
        <v>107056</v>
      </c>
      <c r="CQ37">
        <v>4819</v>
      </c>
      <c r="CR37">
        <v>79852</v>
      </c>
      <c r="CS37">
        <v>40008</v>
      </c>
      <c r="CT37">
        <v>67724</v>
      </c>
      <c r="CU37">
        <v>47146</v>
      </c>
      <c r="CV37">
        <v>83742</v>
      </c>
      <c r="CW37">
        <v>25955</v>
      </c>
      <c r="CX37">
        <v>14647</v>
      </c>
      <c r="CY37">
        <v>58339</v>
      </c>
      <c r="CZ37">
        <v>3504</v>
      </c>
      <c r="DA37">
        <v>202487</v>
      </c>
      <c r="DB37">
        <v>206076</v>
      </c>
      <c r="DC37">
        <v>2677</v>
      </c>
      <c r="DD37">
        <v>115289</v>
      </c>
      <c r="DE37">
        <v>119077</v>
      </c>
      <c r="DF37">
        <v>1830</v>
      </c>
      <c r="DG37">
        <v>33573</v>
      </c>
      <c r="DH37">
        <v>35505</v>
      </c>
      <c r="DI37">
        <v>9160</v>
      </c>
      <c r="DJ37">
        <v>12647</v>
      </c>
      <c r="DK37">
        <v>10473</v>
      </c>
      <c r="DL37">
        <v>32281</v>
      </c>
      <c r="DM37">
        <v>423760</v>
      </c>
      <c r="DN37">
        <v>10819</v>
      </c>
      <c r="DO37">
        <v>17592</v>
      </c>
      <c r="DP37">
        <v>23959</v>
      </c>
      <c r="DQ37">
        <v>81560</v>
      </c>
      <c r="DR37">
        <v>289831</v>
      </c>
      <c r="DS37">
        <v>526859</v>
      </c>
      <c r="DT37">
        <v>239550</v>
      </c>
      <c r="DU37">
        <v>12686</v>
      </c>
      <c r="DV37">
        <v>18878</v>
      </c>
      <c r="DW37">
        <v>15478</v>
      </c>
      <c r="DX37">
        <v>47042</v>
      </c>
      <c r="DY37">
        <v>855258</v>
      </c>
      <c r="DZ37">
        <v>17392</v>
      </c>
      <c r="EA37">
        <v>27786</v>
      </c>
      <c r="EB37">
        <v>47734</v>
      </c>
      <c r="EC37">
        <v>132726</v>
      </c>
      <c r="ED37">
        <v>629620</v>
      </c>
      <c r="EE37">
        <v>975269</v>
      </c>
      <c r="EF37">
        <v>48451</v>
      </c>
      <c r="EG37">
        <v>3526</v>
      </c>
      <c r="EH37">
        <v>6231</v>
      </c>
      <c r="EI37">
        <v>5005</v>
      </c>
      <c r="EJ37">
        <v>14762</v>
      </c>
      <c r="EK37">
        <v>431498</v>
      </c>
      <c r="EL37">
        <v>6574</v>
      </c>
      <c r="EM37">
        <v>10194</v>
      </c>
      <c r="EN37">
        <v>23774</v>
      </c>
      <c r="EO37">
        <v>51167</v>
      </c>
      <c r="EP37">
        <v>339788</v>
      </c>
      <c r="EQ37">
        <v>448410</v>
      </c>
      <c r="ER37">
        <v>182684</v>
      </c>
      <c r="ES37">
        <v>2946</v>
      </c>
      <c r="ET37">
        <v>94876</v>
      </c>
      <c r="EU37">
        <v>165991</v>
      </c>
      <c r="EV37">
        <v>169759</v>
      </c>
      <c r="EW37">
        <v>367758</v>
      </c>
    </row>
    <row r="38" spans="1:153" ht="18" x14ac:dyDescent="0.2">
      <c r="A38" t="s">
        <v>131</v>
      </c>
      <c r="B38" t="s">
        <v>135</v>
      </c>
      <c r="C38" t="s">
        <v>208</v>
      </c>
      <c r="D38" t="s">
        <v>234</v>
      </c>
      <c r="E38" t="s">
        <v>245</v>
      </c>
      <c r="F38">
        <f>G36+G37</f>
        <v>3785</v>
      </c>
      <c r="G38">
        <v>3785</v>
      </c>
      <c r="H38">
        <f>I36+I37</f>
        <v>3950</v>
      </c>
      <c r="I38" s="2">
        <v>3950</v>
      </c>
      <c r="J38">
        <f>K36+K37</f>
        <v>55011</v>
      </c>
      <c r="K38">
        <v>55011</v>
      </c>
      <c r="L38">
        <f>M36+M37</f>
        <v>53064</v>
      </c>
      <c r="M38">
        <v>53064</v>
      </c>
      <c r="N38">
        <v>58796</v>
      </c>
      <c r="O38">
        <v>378</v>
      </c>
      <c r="P38">
        <v>19998</v>
      </c>
      <c r="Q38">
        <v>20376</v>
      </c>
      <c r="R38">
        <v>470</v>
      </c>
      <c r="S38">
        <v>4961</v>
      </c>
      <c r="T38">
        <v>5431</v>
      </c>
      <c r="U38">
        <v>425</v>
      </c>
      <c r="V38">
        <v>9073</v>
      </c>
      <c r="W38">
        <v>9498</v>
      </c>
      <c r="X38">
        <v>1377</v>
      </c>
      <c r="Y38">
        <v>7535</v>
      </c>
      <c r="Z38">
        <v>8913</v>
      </c>
      <c r="AA38">
        <v>1518</v>
      </c>
      <c r="AB38">
        <v>12825</v>
      </c>
      <c r="AC38">
        <v>14342</v>
      </c>
      <c r="AD38">
        <v>1677</v>
      </c>
      <c r="AE38">
        <v>4559</v>
      </c>
      <c r="AF38">
        <v>6236</v>
      </c>
      <c r="AG38">
        <v>273</v>
      </c>
      <c r="AH38">
        <v>91861</v>
      </c>
      <c r="AI38">
        <v>92134</v>
      </c>
      <c r="AJ38">
        <v>1861</v>
      </c>
      <c r="AK38">
        <v>39684</v>
      </c>
      <c r="AL38">
        <v>41545</v>
      </c>
      <c r="AM38">
        <v>2732</v>
      </c>
      <c r="AN38">
        <v>32789</v>
      </c>
      <c r="AO38">
        <v>35521</v>
      </c>
      <c r="AP38">
        <v>1711</v>
      </c>
      <c r="AQ38">
        <v>20489</v>
      </c>
      <c r="AR38">
        <v>22200</v>
      </c>
      <c r="AS38">
        <v>453</v>
      </c>
      <c r="AT38">
        <v>3354</v>
      </c>
      <c r="AU38">
        <v>3808</v>
      </c>
      <c r="AV38">
        <v>11491</v>
      </c>
      <c r="AW38">
        <v>24366</v>
      </c>
      <c r="AX38">
        <v>35856</v>
      </c>
      <c r="AY38">
        <v>5238</v>
      </c>
      <c r="AZ38">
        <v>57156</v>
      </c>
      <c r="BA38">
        <v>62394</v>
      </c>
      <c r="BB38">
        <v>2152</v>
      </c>
      <c r="BC38">
        <v>67271</v>
      </c>
      <c r="BD38">
        <v>69423</v>
      </c>
      <c r="BE38">
        <v>1831</v>
      </c>
      <c r="BF38">
        <v>27179</v>
      </c>
      <c r="BG38">
        <v>29010</v>
      </c>
      <c r="BH38">
        <v>1260</v>
      </c>
      <c r="BI38">
        <v>6276</v>
      </c>
      <c r="BJ38">
        <v>7536</v>
      </c>
      <c r="BK38">
        <v>1920</v>
      </c>
      <c r="BL38">
        <v>38457</v>
      </c>
      <c r="BM38">
        <v>40377</v>
      </c>
      <c r="BN38">
        <v>555</v>
      </c>
      <c r="BO38">
        <v>16028</v>
      </c>
      <c r="BP38">
        <v>16584</v>
      </c>
      <c r="BQ38">
        <v>221</v>
      </c>
      <c r="BR38">
        <v>30103</v>
      </c>
      <c r="BS38">
        <v>30323</v>
      </c>
      <c r="BT38">
        <v>910</v>
      </c>
      <c r="BU38">
        <v>37708</v>
      </c>
      <c r="BV38">
        <v>38618</v>
      </c>
      <c r="BW38">
        <v>1584</v>
      </c>
      <c r="BX38">
        <v>62473</v>
      </c>
      <c r="BY38">
        <v>64058</v>
      </c>
      <c r="BZ38">
        <v>821</v>
      </c>
      <c r="CA38">
        <v>14293</v>
      </c>
      <c r="CB38">
        <v>15114</v>
      </c>
      <c r="CC38">
        <v>304</v>
      </c>
      <c r="CD38">
        <v>19026</v>
      </c>
      <c r="CE38">
        <v>19330</v>
      </c>
      <c r="CF38">
        <v>733</v>
      </c>
      <c r="CG38">
        <v>125180</v>
      </c>
      <c r="CH38">
        <v>125913</v>
      </c>
      <c r="CI38">
        <v>468</v>
      </c>
      <c r="CJ38">
        <v>68228</v>
      </c>
      <c r="CK38">
        <v>68697</v>
      </c>
      <c r="CL38">
        <v>201764</v>
      </c>
      <c r="CM38">
        <v>165994</v>
      </c>
      <c r="CN38">
        <v>8117</v>
      </c>
      <c r="CO38">
        <v>54586</v>
      </c>
      <c r="CP38">
        <v>107056</v>
      </c>
      <c r="CQ38">
        <v>4819</v>
      </c>
      <c r="CR38">
        <v>79852</v>
      </c>
      <c r="CS38">
        <v>40008</v>
      </c>
      <c r="CT38">
        <v>67724</v>
      </c>
      <c r="CU38">
        <v>47146</v>
      </c>
      <c r="CV38">
        <v>83742</v>
      </c>
      <c r="CW38">
        <v>25955</v>
      </c>
      <c r="CX38">
        <v>14647</v>
      </c>
      <c r="CY38">
        <v>58339</v>
      </c>
      <c r="CZ38">
        <v>3504</v>
      </c>
      <c r="DA38">
        <v>202572</v>
      </c>
      <c r="DB38">
        <v>206076</v>
      </c>
      <c r="DC38">
        <v>2677</v>
      </c>
      <c r="DD38">
        <v>116400</v>
      </c>
      <c r="DE38">
        <v>119077</v>
      </c>
      <c r="DF38">
        <v>1830</v>
      </c>
      <c r="DG38">
        <v>33675</v>
      </c>
      <c r="DH38">
        <v>35505</v>
      </c>
      <c r="DI38">
        <v>9160</v>
      </c>
      <c r="DJ38">
        <v>12647</v>
      </c>
      <c r="DK38">
        <v>10473</v>
      </c>
      <c r="DL38">
        <v>32281</v>
      </c>
      <c r="DM38">
        <v>494578</v>
      </c>
      <c r="DN38">
        <v>11127</v>
      </c>
      <c r="DO38">
        <v>17790</v>
      </c>
      <c r="DP38">
        <v>24370</v>
      </c>
      <c r="DQ38">
        <v>82241</v>
      </c>
      <c r="DR38">
        <v>359050</v>
      </c>
      <c r="DS38">
        <v>526859</v>
      </c>
      <c r="DT38">
        <v>239550</v>
      </c>
      <c r="DU38">
        <v>12686</v>
      </c>
      <c r="DV38">
        <v>18878</v>
      </c>
      <c r="DW38">
        <v>15478</v>
      </c>
      <c r="DX38">
        <v>47042</v>
      </c>
      <c r="DY38">
        <v>928227</v>
      </c>
      <c r="DZ38">
        <v>17884</v>
      </c>
      <c r="EA38">
        <v>28222</v>
      </c>
      <c r="EB38">
        <v>49596</v>
      </c>
      <c r="EC38">
        <v>133500</v>
      </c>
      <c r="ED38">
        <v>699024</v>
      </c>
      <c r="EE38">
        <v>975269</v>
      </c>
      <c r="EF38">
        <v>48451</v>
      </c>
      <c r="EG38">
        <v>3526</v>
      </c>
      <c r="EH38">
        <v>6231</v>
      </c>
      <c r="EI38">
        <v>5005</v>
      </c>
      <c r="EJ38">
        <v>14762</v>
      </c>
      <c r="EK38">
        <v>433648</v>
      </c>
      <c r="EL38">
        <v>6757</v>
      </c>
      <c r="EM38">
        <v>10432</v>
      </c>
      <c r="EN38">
        <v>25226</v>
      </c>
      <c r="EO38">
        <v>51259</v>
      </c>
      <c r="EP38">
        <v>339974</v>
      </c>
      <c r="EQ38">
        <v>448410</v>
      </c>
      <c r="ER38">
        <v>182684</v>
      </c>
      <c r="ES38">
        <v>2946</v>
      </c>
      <c r="ET38">
        <v>163045</v>
      </c>
      <c r="EU38">
        <v>165991</v>
      </c>
      <c r="EV38">
        <v>169759</v>
      </c>
      <c r="EW38">
        <v>367758</v>
      </c>
    </row>
    <row r="39" spans="1:153" ht="18" x14ac:dyDescent="0.2">
      <c r="A39" t="s">
        <v>132</v>
      </c>
      <c r="B39" t="s">
        <v>137</v>
      </c>
      <c r="C39" t="s">
        <v>209</v>
      </c>
      <c r="D39" t="s">
        <v>234</v>
      </c>
      <c r="E39" t="s">
        <v>245</v>
      </c>
      <c r="G39">
        <v>4378</v>
      </c>
      <c r="I39" s="2">
        <v>4171</v>
      </c>
      <c r="K39">
        <v>78162</v>
      </c>
      <c r="M39">
        <v>72098</v>
      </c>
      <c r="N39">
        <v>82539</v>
      </c>
      <c r="O39">
        <v>1070</v>
      </c>
      <c r="P39">
        <v>29964</v>
      </c>
      <c r="Q39">
        <v>31034</v>
      </c>
      <c r="R39">
        <v>927</v>
      </c>
      <c r="S39">
        <v>6270</v>
      </c>
      <c r="T39">
        <v>7198</v>
      </c>
      <c r="U39">
        <v>1068</v>
      </c>
      <c r="V39">
        <v>15716</v>
      </c>
      <c r="W39">
        <v>16784</v>
      </c>
      <c r="X39">
        <v>2305</v>
      </c>
      <c r="Y39">
        <v>12934</v>
      </c>
      <c r="Z39">
        <v>15239</v>
      </c>
      <c r="AA39">
        <v>1805</v>
      </c>
      <c r="AB39">
        <v>12213</v>
      </c>
      <c r="AC39">
        <v>14018</v>
      </c>
      <c r="AD39">
        <v>707</v>
      </c>
      <c r="AE39">
        <v>2375</v>
      </c>
      <c r="AF39">
        <v>3082</v>
      </c>
      <c r="AG39">
        <v>242</v>
      </c>
      <c r="AH39">
        <v>59891</v>
      </c>
      <c r="AI39">
        <v>60133</v>
      </c>
      <c r="AJ39">
        <v>2424</v>
      </c>
      <c r="AK39">
        <v>37803</v>
      </c>
      <c r="AL39">
        <v>40227</v>
      </c>
      <c r="AM39">
        <v>3328</v>
      </c>
      <c r="AN39">
        <v>30392</v>
      </c>
      <c r="AO39">
        <v>33720</v>
      </c>
      <c r="AP39">
        <v>922</v>
      </c>
      <c r="AQ39">
        <v>20554</v>
      </c>
      <c r="AR39">
        <v>21476</v>
      </c>
      <c r="AS39">
        <v>538</v>
      </c>
      <c r="AT39">
        <v>3505</v>
      </c>
      <c r="AU39">
        <v>4043</v>
      </c>
      <c r="AV39">
        <v>10475</v>
      </c>
      <c r="AW39">
        <v>28353</v>
      </c>
      <c r="AX39">
        <v>38829</v>
      </c>
      <c r="AY39">
        <v>8051</v>
      </c>
      <c r="AZ39">
        <v>75377</v>
      </c>
      <c r="BA39">
        <v>83429</v>
      </c>
      <c r="BB39">
        <v>3430</v>
      </c>
      <c r="BC39">
        <v>65621</v>
      </c>
      <c r="BD39">
        <v>69050</v>
      </c>
      <c r="BE39">
        <v>2613</v>
      </c>
      <c r="BF39">
        <v>36814</v>
      </c>
      <c r="BG39">
        <v>39427</v>
      </c>
      <c r="BH39">
        <v>1139</v>
      </c>
      <c r="BI39">
        <v>8818</v>
      </c>
      <c r="BJ39">
        <v>9957</v>
      </c>
      <c r="BK39">
        <v>2231</v>
      </c>
      <c r="BL39">
        <v>41180</v>
      </c>
      <c r="BM39">
        <v>43411</v>
      </c>
      <c r="BN39">
        <v>886</v>
      </c>
      <c r="BO39">
        <v>26982</v>
      </c>
      <c r="BP39">
        <v>27868</v>
      </c>
      <c r="BQ39">
        <v>277</v>
      </c>
      <c r="BR39">
        <v>17676</v>
      </c>
      <c r="BS39">
        <v>17954</v>
      </c>
      <c r="BT39">
        <v>1031</v>
      </c>
      <c r="BU39">
        <v>36777</v>
      </c>
      <c r="BV39">
        <v>37808</v>
      </c>
      <c r="BW39">
        <v>2241</v>
      </c>
      <c r="BX39">
        <v>89849</v>
      </c>
      <c r="BY39">
        <v>92090</v>
      </c>
      <c r="BZ39">
        <v>642</v>
      </c>
      <c r="CA39">
        <v>16765</v>
      </c>
      <c r="CB39">
        <v>17407</v>
      </c>
      <c r="CC39">
        <v>593</v>
      </c>
      <c r="CD39">
        <v>16933</v>
      </c>
      <c r="CE39">
        <v>17526</v>
      </c>
      <c r="CF39">
        <v>806</v>
      </c>
      <c r="CG39">
        <v>99320</v>
      </c>
      <c r="CH39">
        <v>100126</v>
      </c>
      <c r="CI39">
        <v>1140</v>
      </c>
      <c r="CJ39">
        <v>155598</v>
      </c>
      <c r="CK39">
        <v>156738</v>
      </c>
      <c r="CL39">
        <v>221912</v>
      </c>
      <c r="CM39">
        <v>165004</v>
      </c>
      <c r="CN39">
        <v>32884</v>
      </c>
      <c r="CO39">
        <v>165907</v>
      </c>
      <c r="CP39">
        <v>184097</v>
      </c>
      <c r="CQ39">
        <v>428</v>
      </c>
      <c r="CR39">
        <v>3552</v>
      </c>
      <c r="CS39">
        <v>3914</v>
      </c>
      <c r="CT39">
        <v>9670</v>
      </c>
      <c r="CU39">
        <v>6858</v>
      </c>
      <c r="CV39">
        <v>4470</v>
      </c>
      <c r="CW39">
        <v>1745</v>
      </c>
      <c r="CX39">
        <v>9196</v>
      </c>
      <c r="CY39">
        <v>4357</v>
      </c>
      <c r="CZ39">
        <v>4261</v>
      </c>
      <c r="DA39">
        <v>173899</v>
      </c>
      <c r="DB39">
        <v>178160</v>
      </c>
      <c r="DC39">
        <v>4300</v>
      </c>
      <c r="DD39">
        <v>100230</v>
      </c>
      <c r="DE39">
        <v>104530</v>
      </c>
      <c r="DF39">
        <v>2066</v>
      </c>
      <c r="DG39">
        <v>47252</v>
      </c>
      <c r="DH39">
        <v>49318</v>
      </c>
      <c r="DI39">
        <v>10138</v>
      </c>
      <c r="DJ39">
        <v>16241</v>
      </c>
      <c r="DK39">
        <v>12042</v>
      </c>
      <c r="DL39">
        <v>38421</v>
      </c>
      <c r="DM39">
        <v>676749</v>
      </c>
      <c r="DN39">
        <v>15562</v>
      </c>
      <c r="DO39">
        <v>22652</v>
      </c>
      <c r="DP39">
        <v>33550</v>
      </c>
      <c r="DQ39">
        <v>89037</v>
      </c>
      <c r="DR39">
        <v>515949</v>
      </c>
      <c r="DS39">
        <v>715170</v>
      </c>
      <c r="DT39">
        <v>24422</v>
      </c>
      <c r="DU39">
        <v>14182</v>
      </c>
      <c r="DV39">
        <v>23560</v>
      </c>
      <c r="DW39">
        <v>18466</v>
      </c>
      <c r="DX39">
        <v>56208</v>
      </c>
      <c r="DY39">
        <v>1085630</v>
      </c>
      <c r="DZ39">
        <v>24686</v>
      </c>
      <c r="EA39">
        <v>36689</v>
      </c>
      <c r="EB39">
        <v>61327</v>
      </c>
      <c r="EC39">
        <v>149419</v>
      </c>
      <c r="ED39">
        <v>813510</v>
      </c>
      <c r="EE39">
        <v>1141838</v>
      </c>
      <c r="EF39">
        <v>20756</v>
      </c>
      <c r="EG39">
        <v>4044</v>
      </c>
      <c r="EH39">
        <v>7319</v>
      </c>
      <c r="EI39">
        <v>6423</v>
      </c>
      <c r="EJ39">
        <v>17787</v>
      </c>
      <c r="EK39">
        <v>408881</v>
      </c>
      <c r="EL39">
        <v>9124</v>
      </c>
      <c r="EM39">
        <v>14037</v>
      </c>
      <c r="EN39">
        <v>27777</v>
      </c>
      <c r="EO39">
        <v>60382</v>
      </c>
      <c r="EP39">
        <v>297561</v>
      </c>
      <c r="EQ39">
        <v>426668</v>
      </c>
      <c r="ER39">
        <v>19769</v>
      </c>
      <c r="ES39">
        <v>4318</v>
      </c>
      <c r="ET39">
        <v>305237</v>
      </c>
      <c r="EU39">
        <v>309556</v>
      </c>
      <c r="EV39">
        <v>382888</v>
      </c>
      <c r="EW39">
        <v>386916</v>
      </c>
    </row>
    <row r="40" spans="1:153" ht="18" x14ac:dyDescent="0.2">
      <c r="A40" t="s">
        <v>133</v>
      </c>
      <c r="B40" t="s">
        <v>139</v>
      </c>
      <c r="C40" t="s">
        <v>210</v>
      </c>
      <c r="D40" t="s">
        <v>234</v>
      </c>
      <c r="E40" t="s">
        <v>245</v>
      </c>
      <c r="G40">
        <v>1487</v>
      </c>
      <c r="I40" s="2">
        <v>902</v>
      </c>
      <c r="K40">
        <v>67552</v>
      </c>
      <c r="M40">
        <v>67916</v>
      </c>
      <c r="N40">
        <v>69039</v>
      </c>
      <c r="O40">
        <v>72</v>
      </c>
      <c r="P40">
        <v>12615</v>
      </c>
      <c r="Q40">
        <v>12687</v>
      </c>
      <c r="R40">
        <v>325</v>
      </c>
      <c r="S40">
        <v>1251</v>
      </c>
      <c r="T40">
        <v>1576</v>
      </c>
      <c r="U40">
        <v>276</v>
      </c>
      <c r="V40">
        <v>3994</v>
      </c>
      <c r="W40">
        <v>4270</v>
      </c>
      <c r="X40">
        <v>399</v>
      </c>
      <c r="Y40">
        <v>2749</v>
      </c>
      <c r="Z40">
        <v>3148</v>
      </c>
      <c r="AA40">
        <v>272</v>
      </c>
      <c r="AB40">
        <v>3170</v>
      </c>
      <c r="AC40">
        <v>3441</v>
      </c>
      <c r="AD40">
        <v>358</v>
      </c>
      <c r="AE40">
        <v>1235</v>
      </c>
      <c r="AF40">
        <v>1593</v>
      </c>
      <c r="AG40">
        <v>52</v>
      </c>
      <c r="AH40">
        <v>22857</v>
      </c>
      <c r="AI40">
        <v>22909</v>
      </c>
      <c r="AJ40">
        <v>609</v>
      </c>
      <c r="AK40">
        <v>14876</v>
      </c>
      <c r="AL40">
        <v>15485</v>
      </c>
      <c r="AM40">
        <v>608</v>
      </c>
      <c r="AN40">
        <v>10134</v>
      </c>
      <c r="AO40">
        <v>10742</v>
      </c>
      <c r="AP40">
        <v>636</v>
      </c>
      <c r="AQ40">
        <v>17525</v>
      </c>
      <c r="AR40">
        <v>18161</v>
      </c>
      <c r="AS40">
        <v>69</v>
      </c>
      <c r="AT40">
        <v>1043</v>
      </c>
      <c r="AU40">
        <v>1112</v>
      </c>
      <c r="AV40">
        <v>2692</v>
      </c>
      <c r="AW40">
        <v>10900</v>
      </c>
      <c r="AX40">
        <v>13592</v>
      </c>
      <c r="AY40">
        <v>1338</v>
      </c>
      <c r="AZ40">
        <v>43866</v>
      </c>
      <c r="BA40">
        <v>45204</v>
      </c>
      <c r="BB40">
        <v>825</v>
      </c>
      <c r="BC40">
        <v>48660</v>
      </c>
      <c r="BD40">
        <v>49485</v>
      </c>
      <c r="BE40">
        <v>450</v>
      </c>
      <c r="BF40">
        <v>21144</v>
      </c>
      <c r="BG40">
        <v>21594</v>
      </c>
      <c r="BH40">
        <v>340</v>
      </c>
      <c r="BI40">
        <v>1449</v>
      </c>
      <c r="BJ40">
        <v>1789</v>
      </c>
      <c r="BK40">
        <v>584</v>
      </c>
      <c r="BL40">
        <v>18460</v>
      </c>
      <c r="BM40">
        <v>19044</v>
      </c>
      <c r="BN40">
        <v>88</v>
      </c>
      <c r="BO40">
        <v>6267</v>
      </c>
      <c r="BP40">
        <v>6355</v>
      </c>
      <c r="BQ40">
        <v>66</v>
      </c>
      <c r="BR40">
        <v>48509</v>
      </c>
      <c r="BS40">
        <v>48576</v>
      </c>
      <c r="BT40">
        <v>102</v>
      </c>
      <c r="BU40">
        <v>25778</v>
      </c>
      <c r="BV40">
        <v>25880</v>
      </c>
      <c r="BW40">
        <v>336</v>
      </c>
      <c r="BX40">
        <v>73939</v>
      </c>
      <c r="BY40">
        <v>74276</v>
      </c>
      <c r="BZ40">
        <v>171</v>
      </c>
      <c r="CA40">
        <v>3297</v>
      </c>
      <c r="CB40">
        <v>3468</v>
      </c>
      <c r="CC40">
        <v>59</v>
      </c>
      <c r="CD40">
        <v>30708</v>
      </c>
      <c r="CE40">
        <v>30767</v>
      </c>
      <c r="CF40">
        <v>193</v>
      </c>
      <c r="CG40">
        <v>87237</v>
      </c>
      <c r="CH40">
        <v>87430</v>
      </c>
      <c r="CI40">
        <v>119</v>
      </c>
      <c r="CJ40">
        <v>33098</v>
      </c>
      <c r="CK40">
        <v>33216</v>
      </c>
      <c r="CL40">
        <v>96481</v>
      </c>
      <c r="CM40">
        <v>36043</v>
      </c>
      <c r="CN40">
        <v>3785</v>
      </c>
      <c r="CO40">
        <v>28406</v>
      </c>
      <c r="CP40">
        <v>30356</v>
      </c>
      <c r="CQ40">
        <v>4448</v>
      </c>
      <c r="CR40">
        <v>90263</v>
      </c>
      <c r="CS40">
        <v>18051</v>
      </c>
      <c r="CT40">
        <v>44271</v>
      </c>
      <c r="CU40">
        <v>91244</v>
      </c>
      <c r="CV40">
        <v>50091</v>
      </c>
      <c r="CW40">
        <v>17215</v>
      </c>
      <c r="CX40">
        <v>8829</v>
      </c>
      <c r="CY40">
        <v>37916</v>
      </c>
      <c r="CZ40">
        <v>904</v>
      </c>
      <c r="DA40">
        <v>127891</v>
      </c>
      <c r="DB40">
        <v>128795</v>
      </c>
      <c r="DC40">
        <v>950</v>
      </c>
      <c r="DD40">
        <v>127877</v>
      </c>
      <c r="DE40">
        <v>128827</v>
      </c>
      <c r="DF40">
        <v>328</v>
      </c>
      <c r="DG40">
        <v>10608</v>
      </c>
      <c r="DH40">
        <v>10936</v>
      </c>
      <c r="DI40">
        <v>2003</v>
      </c>
      <c r="DJ40">
        <v>3586</v>
      </c>
      <c r="DK40">
        <v>3052</v>
      </c>
      <c r="DL40">
        <v>8641</v>
      </c>
      <c r="DM40">
        <v>367835</v>
      </c>
      <c r="DN40">
        <v>3721</v>
      </c>
      <c r="DO40">
        <v>6488</v>
      </c>
      <c r="DP40">
        <v>12586</v>
      </c>
      <c r="DQ40">
        <v>40431</v>
      </c>
      <c r="DR40">
        <v>304610</v>
      </c>
      <c r="DS40">
        <v>376476</v>
      </c>
      <c r="DT40">
        <v>248277</v>
      </c>
      <c r="DU40">
        <v>2759</v>
      </c>
      <c r="DV40">
        <v>4986</v>
      </c>
      <c r="DW40">
        <v>5251</v>
      </c>
      <c r="DX40">
        <v>12996</v>
      </c>
      <c r="DY40">
        <v>618532</v>
      </c>
      <c r="DZ40">
        <v>6150</v>
      </c>
      <c r="EA40">
        <v>11431</v>
      </c>
      <c r="EB40">
        <v>21525</v>
      </c>
      <c r="EC40">
        <v>62690</v>
      </c>
      <c r="ED40">
        <v>516736</v>
      </c>
      <c r="EE40">
        <v>631528</v>
      </c>
      <c r="EF40">
        <v>20700</v>
      </c>
      <c r="EG40">
        <v>757</v>
      </c>
      <c r="EH40">
        <v>1400</v>
      </c>
      <c r="EI40">
        <v>2198</v>
      </c>
      <c r="EJ40">
        <v>4355</v>
      </c>
      <c r="EK40">
        <v>250697</v>
      </c>
      <c r="EL40">
        <v>2429</v>
      </c>
      <c r="EM40">
        <v>4943</v>
      </c>
      <c r="EN40">
        <v>8939</v>
      </c>
      <c r="EO40">
        <v>22260</v>
      </c>
      <c r="EP40">
        <v>212127</v>
      </c>
      <c r="EQ40">
        <v>255052</v>
      </c>
      <c r="ER40">
        <v>114050</v>
      </c>
      <c r="ES40">
        <v>924</v>
      </c>
      <c r="ET40">
        <v>113257</v>
      </c>
      <c r="EU40">
        <v>114181</v>
      </c>
      <c r="EV40">
        <v>62547</v>
      </c>
      <c r="EW40">
        <v>132524</v>
      </c>
    </row>
    <row r="41" spans="1:153" ht="18" x14ac:dyDescent="0.2">
      <c r="A41" t="s">
        <v>134</v>
      </c>
      <c r="B41" t="s">
        <v>141</v>
      </c>
      <c r="C41" t="s">
        <v>211</v>
      </c>
      <c r="D41" t="s">
        <v>233</v>
      </c>
      <c r="E41" t="s">
        <v>245</v>
      </c>
      <c r="F41">
        <f>F35+F38+G39+G40</f>
        <v>14485</v>
      </c>
      <c r="G41">
        <v>14485</v>
      </c>
      <c r="H41">
        <f>H35+H38+I39+I40</f>
        <v>12886</v>
      </c>
      <c r="I41" s="2">
        <v>12885</v>
      </c>
      <c r="J41">
        <f>J35+J38+K39+K40</f>
        <v>223918</v>
      </c>
      <c r="K41">
        <v>223917</v>
      </c>
      <c r="L41">
        <f>L35+L38+M39+M40</f>
        <v>214033</v>
      </c>
      <c r="M41">
        <v>214034</v>
      </c>
      <c r="N41">
        <v>238402</v>
      </c>
      <c r="O41">
        <v>2139</v>
      </c>
      <c r="P41">
        <v>89867</v>
      </c>
      <c r="Q41">
        <v>92006</v>
      </c>
      <c r="R41">
        <v>2487</v>
      </c>
      <c r="S41">
        <v>13711</v>
      </c>
      <c r="T41">
        <v>16198</v>
      </c>
      <c r="U41">
        <v>2054</v>
      </c>
      <c r="V41">
        <v>43576</v>
      </c>
      <c r="W41">
        <v>45630</v>
      </c>
      <c r="X41">
        <v>6356</v>
      </c>
      <c r="Y41">
        <v>60844</v>
      </c>
      <c r="Z41">
        <v>67200</v>
      </c>
      <c r="AA41">
        <v>4669</v>
      </c>
      <c r="AB41">
        <v>35574</v>
      </c>
      <c r="AC41">
        <v>40243</v>
      </c>
      <c r="AD41">
        <v>3745</v>
      </c>
      <c r="AE41">
        <v>10487</v>
      </c>
      <c r="AF41">
        <v>14232</v>
      </c>
      <c r="AG41">
        <v>998</v>
      </c>
      <c r="AH41">
        <v>214553</v>
      </c>
      <c r="AI41">
        <v>215551</v>
      </c>
      <c r="AJ41">
        <v>6405</v>
      </c>
      <c r="AK41">
        <v>110650</v>
      </c>
      <c r="AL41">
        <v>117055</v>
      </c>
      <c r="AM41">
        <v>8995</v>
      </c>
      <c r="AN41">
        <v>89272</v>
      </c>
      <c r="AO41">
        <v>98268</v>
      </c>
      <c r="AP41">
        <v>4888</v>
      </c>
      <c r="AQ41">
        <v>71316</v>
      </c>
      <c r="AR41">
        <v>76203</v>
      </c>
      <c r="AS41">
        <v>1435</v>
      </c>
      <c r="AT41">
        <v>10114</v>
      </c>
      <c r="AU41">
        <v>11549</v>
      </c>
      <c r="AV41">
        <v>35169</v>
      </c>
      <c r="AW41">
        <v>81902</v>
      </c>
      <c r="AX41">
        <v>117072</v>
      </c>
      <c r="AY41">
        <v>20467</v>
      </c>
      <c r="AZ41">
        <v>215195</v>
      </c>
      <c r="BA41">
        <v>235662</v>
      </c>
      <c r="BB41">
        <v>10001</v>
      </c>
      <c r="BC41">
        <v>303892</v>
      </c>
      <c r="BD41">
        <v>313893</v>
      </c>
      <c r="BE41">
        <v>6238</v>
      </c>
      <c r="BF41">
        <v>114632</v>
      </c>
      <c r="BG41">
        <v>120870</v>
      </c>
      <c r="BH41">
        <v>3707</v>
      </c>
      <c r="BI41">
        <v>20503</v>
      </c>
      <c r="BJ41">
        <v>24210</v>
      </c>
      <c r="BK41">
        <v>6730</v>
      </c>
      <c r="BL41">
        <v>137374</v>
      </c>
      <c r="BM41">
        <v>144104</v>
      </c>
      <c r="BN41">
        <v>1981</v>
      </c>
      <c r="BO41">
        <v>58650</v>
      </c>
      <c r="BP41">
        <v>60632</v>
      </c>
      <c r="BQ41">
        <v>1062</v>
      </c>
      <c r="BR41">
        <v>145152</v>
      </c>
      <c r="BS41">
        <v>146215</v>
      </c>
      <c r="BT41">
        <v>2521</v>
      </c>
      <c r="BU41">
        <v>127619</v>
      </c>
      <c r="BV41">
        <v>130141</v>
      </c>
      <c r="BW41">
        <v>5555</v>
      </c>
      <c r="BX41">
        <v>344407</v>
      </c>
      <c r="BY41">
        <v>349962</v>
      </c>
      <c r="BZ41">
        <v>2277</v>
      </c>
      <c r="CA41">
        <v>43210</v>
      </c>
      <c r="CB41">
        <v>45487</v>
      </c>
      <c r="CC41">
        <v>1329</v>
      </c>
      <c r="CD41">
        <v>94971</v>
      </c>
      <c r="CE41">
        <v>96300</v>
      </c>
      <c r="CF41">
        <v>2542</v>
      </c>
      <c r="CG41">
        <v>411283</v>
      </c>
      <c r="CH41">
        <v>413825</v>
      </c>
      <c r="CI41">
        <v>2253</v>
      </c>
      <c r="CJ41">
        <v>297991</v>
      </c>
      <c r="CK41">
        <v>300244</v>
      </c>
      <c r="CL41">
        <v>589121</v>
      </c>
      <c r="CM41">
        <v>421581</v>
      </c>
      <c r="CN41">
        <v>66177</v>
      </c>
      <c r="CO41">
        <v>363777</v>
      </c>
      <c r="CP41">
        <v>415481</v>
      </c>
      <c r="CQ41">
        <v>13807</v>
      </c>
      <c r="CR41">
        <v>352978</v>
      </c>
      <c r="CS41">
        <v>169513</v>
      </c>
      <c r="CT41">
        <v>165684</v>
      </c>
      <c r="CU41">
        <v>234521</v>
      </c>
      <c r="CV41">
        <v>243959</v>
      </c>
      <c r="CW41">
        <v>64391</v>
      </c>
      <c r="CX41">
        <v>144976</v>
      </c>
      <c r="CY41">
        <v>137459</v>
      </c>
      <c r="CZ41">
        <v>11468</v>
      </c>
      <c r="DA41">
        <v>649553</v>
      </c>
      <c r="DB41">
        <v>661021</v>
      </c>
      <c r="DC41">
        <v>12392</v>
      </c>
      <c r="DD41">
        <v>544015</v>
      </c>
      <c r="DE41">
        <v>556407</v>
      </c>
      <c r="DF41">
        <v>5694</v>
      </c>
      <c r="DG41">
        <v>111974</v>
      </c>
      <c r="DH41">
        <v>117668</v>
      </c>
      <c r="DI41">
        <v>30724</v>
      </c>
      <c r="DJ41">
        <v>45367</v>
      </c>
      <c r="DK41">
        <v>36172</v>
      </c>
      <c r="DL41">
        <v>112262</v>
      </c>
      <c r="DM41">
        <v>2101680</v>
      </c>
      <c r="DN41">
        <v>39854</v>
      </c>
      <c r="DO41">
        <v>63361</v>
      </c>
      <c r="DP41">
        <v>90919</v>
      </c>
      <c r="DQ41">
        <v>275611</v>
      </c>
      <c r="DR41">
        <v>1631935</v>
      </c>
      <c r="DS41">
        <v>2213943</v>
      </c>
      <c r="DT41">
        <v>936503</v>
      </c>
      <c r="DU41">
        <v>42230</v>
      </c>
      <c r="DV41">
        <v>66503</v>
      </c>
      <c r="DW41">
        <v>54569</v>
      </c>
      <c r="DX41">
        <v>163303</v>
      </c>
      <c r="DY41">
        <v>3472190</v>
      </c>
      <c r="DZ41">
        <v>64931</v>
      </c>
      <c r="EA41">
        <v>99788</v>
      </c>
      <c r="EB41">
        <v>169331</v>
      </c>
      <c r="EC41">
        <v>443510</v>
      </c>
      <c r="ED41">
        <v>2694630</v>
      </c>
      <c r="EE41">
        <v>3635493</v>
      </c>
      <c r="EF41">
        <v>142246</v>
      </c>
      <c r="EG41">
        <v>11506</v>
      </c>
      <c r="EH41">
        <v>21137</v>
      </c>
      <c r="EI41">
        <v>18397</v>
      </c>
      <c r="EJ41">
        <v>51040</v>
      </c>
      <c r="EK41">
        <v>1370509</v>
      </c>
      <c r="EL41">
        <v>25077</v>
      </c>
      <c r="EM41">
        <v>36427</v>
      </c>
      <c r="EN41">
        <v>78412</v>
      </c>
      <c r="EO41">
        <v>167899</v>
      </c>
      <c r="EP41">
        <v>1062695</v>
      </c>
      <c r="EQ41">
        <v>1421550</v>
      </c>
      <c r="ER41">
        <v>590786</v>
      </c>
      <c r="ES41">
        <v>10621</v>
      </c>
      <c r="ET41">
        <v>743926</v>
      </c>
      <c r="EU41">
        <v>754547</v>
      </c>
      <c r="EV41">
        <v>845435</v>
      </c>
      <c r="EW41">
        <v>1010702</v>
      </c>
    </row>
    <row r="42" spans="1:153" ht="18" x14ac:dyDescent="0.2">
      <c r="A42" t="s">
        <v>136</v>
      </c>
      <c r="B42" t="s">
        <v>143</v>
      </c>
      <c r="C42" t="s">
        <v>212</v>
      </c>
      <c r="D42" t="s">
        <v>234</v>
      </c>
      <c r="E42" t="s">
        <v>245</v>
      </c>
      <c r="G42">
        <v>15126</v>
      </c>
      <c r="I42" s="2">
        <v>16017</v>
      </c>
      <c r="K42">
        <v>292287</v>
      </c>
      <c r="M42">
        <v>289670</v>
      </c>
      <c r="N42">
        <v>307413</v>
      </c>
      <c r="O42">
        <v>4500</v>
      </c>
      <c r="P42">
        <v>118370</v>
      </c>
      <c r="Q42">
        <v>122870</v>
      </c>
      <c r="R42">
        <v>3073</v>
      </c>
      <c r="S42">
        <v>24813</v>
      </c>
      <c r="T42">
        <v>27886</v>
      </c>
      <c r="U42">
        <v>980</v>
      </c>
      <c r="V42">
        <v>23751</v>
      </c>
      <c r="W42">
        <v>24731</v>
      </c>
      <c r="X42">
        <v>8146</v>
      </c>
      <c r="Y42">
        <v>49713</v>
      </c>
      <c r="Z42">
        <v>57859</v>
      </c>
      <c r="AA42">
        <v>7234</v>
      </c>
      <c r="AB42">
        <v>113316</v>
      </c>
      <c r="AC42">
        <v>120550</v>
      </c>
      <c r="AD42">
        <v>6587</v>
      </c>
      <c r="AE42">
        <v>16114</v>
      </c>
      <c r="AF42">
        <v>22701</v>
      </c>
      <c r="AG42">
        <v>1359</v>
      </c>
      <c r="AH42">
        <v>831997</v>
      </c>
      <c r="AI42">
        <v>833356</v>
      </c>
      <c r="AJ42">
        <v>5093</v>
      </c>
      <c r="AK42">
        <v>171881</v>
      </c>
      <c r="AL42">
        <v>176974</v>
      </c>
      <c r="AM42">
        <v>15984</v>
      </c>
      <c r="AN42">
        <v>137267</v>
      </c>
      <c r="AO42">
        <v>153251</v>
      </c>
      <c r="AP42">
        <v>8789</v>
      </c>
      <c r="AQ42">
        <v>155345</v>
      </c>
      <c r="AR42">
        <v>164133</v>
      </c>
      <c r="AS42">
        <v>2193</v>
      </c>
      <c r="AT42">
        <v>11727</v>
      </c>
      <c r="AU42">
        <v>13920</v>
      </c>
      <c r="AV42">
        <v>36125</v>
      </c>
      <c r="AW42">
        <v>80707</v>
      </c>
      <c r="AX42">
        <v>116832</v>
      </c>
      <c r="AY42">
        <v>14597</v>
      </c>
      <c r="AZ42">
        <v>142386</v>
      </c>
      <c r="BA42">
        <v>156983</v>
      </c>
      <c r="BB42">
        <v>5896</v>
      </c>
      <c r="BC42">
        <v>311633</v>
      </c>
      <c r="BD42">
        <v>317528</v>
      </c>
      <c r="BE42">
        <v>4847</v>
      </c>
      <c r="BF42">
        <v>89946</v>
      </c>
      <c r="BG42">
        <v>94793</v>
      </c>
      <c r="BH42">
        <v>2735</v>
      </c>
      <c r="BI42">
        <v>24145</v>
      </c>
      <c r="BJ42">
        <v>26880</v>
      </c>
      <c r="BK42">
        <v>5426</v>
      </c>
      <c r="BL42">
        <v>125542</v>
      </c>
      <c r="BM42">
        <v>130969</v>
      </c>
      <c r="BN42">
        <v>2041</v>
      </c>
      <c r="BO42">
        <v>122785</v>
      </c>
      <c r="BP42">
        <v>124826</v>
      </c>
      <c r="BQ42">
        <v>422</v>
      </c>
      <c r="BR42">
        <v>99649</v>
      </c>
      <c r="BS42">
        <v>100071</v>
      </c>
      <c r="BT42">
        <v>2793</v>
      </c>
      <c r="BU42">
        <v>383318</v>
      </c>
      <c r="BV42">
        <v>386110</v>
      </c>
      <c r="BW42">
        <v>5443</v>
      </c>
      <c r="BX42">
        <v>359402</v>
      </c>
      <c r="BY42">
        <v>364845</v>
      </c>
      <c r="BZ42">
        <v>2150</v>
      </c>
      <c r="CA42">
        <v>106997</v>
      </c>
      <c r="CB42">
        <v>109147</v>
      </c>
      <c r="CC42">
        <v>469</v>
      </c>
      <c r="CD42">
        <v>44562</v>
      </c>
      <c r="CE42">
        <v>45031</v>
      </c>
      <c r="CF42">
        <v>2540</v>
      </c>
      <c r="CG42">
        <v>256841</v>
      </c>
      <c r="CH42">
        <v>259381</v>
      </c>
      <c r="CI42">
        <v>2792</v>
      </c>
      <c r="CJ42">
        <v>143520</v>
      </c>
      <c r="CK42">
        <v>146312</v>
      </c>
      <c r="CL42">
        <v>225040</v>
      </c>
      <c r="CM42">
        <v>259148</v>
      </c>
      <c r="CN42">
        <v>205927</v>
      </c>
      <c r="CO42">
        <v>728455</v>
      </c>
      <c r="CP42">
        <v>437643</v>
      </c>
      <c r="CQ42">
        <v>22033</v>
      </c>
      <c r="CR42">
        <v>267056</v>
      </c>
      <c r="CS42">
        <v>278690</v>
      </c>
      <c r="CT42">
        <v>1226039</v>
      </c>
      <c r="CU42">
        <v>266954</v>
      </c>
      <c r="CV42">
        <v>87716</v>
      </c>
      <c r="CW42">
        <v>20176</v>
      </c>
      <c r="CX42">
        <v>30103</v>
      </c>
      <c r="CY42">
        <v>56608</v>
      </c>
      <c r="CZ42">
        <v>10426</v>
      </c>
      <c r="DA42">
        <v>812039</v>
      </c>
      <c r="DB42">
        <v>822465</v>
      </c>
      <c r="DC42">
        <v>6787</v>
      </c>
      <c r="DD42">
        <v>455844</v>
      </c>
      <c r="DE42">
        <v>462631</v>
      </c>
      <c r="DF42">
        <v>6384</v>
      </c>
      <c r="DG42">
        <v>241508</v>
      </c>
      <c r="DH42">
        <v>247892</v>
      </c>
      <c r="DI42">
        <v>32960</v>
      </c>
      <c r="DJ42">
        <v>38393</v>
      </c>
      <c r="DK42">
        <v>33475</v>
      </c>
      <c r="DL42">
        <v>104828</v>
      </c>
      <c r="DM42">
        <v>1912304</v>
      </c>
      <c r="DN42">
        <v>37291</v>
      </c>
      <c r="DO42">
        <v>55966</v>
      </c>
      <c r="DP42">
        <v>103632</v>
      </c>
      <c r="DQ42">
        <v>287454</v>
      </c>
      <c r="DR42">
        <v>1427962</v>
      </c>
      <c r="DS42">
        <v>2017132</v>
      </c>
      <c r="DT42">
        <v>2060772</v>
      </c>
      <c r="DU42">
        <v>52235</v>
      </c>
      <c r="DV42">
        <v>63736</v>
      </c>
      <c r="DW42">
        <v>54126</v>
      </c>
      <c r="DX42">
        <v>170097</v>
      </c>
      <c r="DY42">
        <v>4282259</v>
      </c>
      <c r="DZ42">
        <v>66826</v>
      </c>
      <c r="EA42">
        <v>105624</v>
      </c>
      <c r="EB42">
        <v>201886</v>
      </c>
      <c r="EC42">
        <v>540415</v>
      </c>
      <c r="ED42">
        <v>3367508</v>
      </c>
      <c r="EE42">
        <v>4452356</v>
      </c>
      <c r="EF42">
        <v>1332550</v>
      </c>
      <c r="EG42">
        <v>19275</v>
      </c>
      <c r="EH42">
        <v>25343</v>
      </c>
      <c r="EI42">
        <v>20651</v>
      </c>
      <c r="EJ42">
        <v>65269</v>
      </c>
      <c r="EK42">
        <v>2369954</v>
      </c>
      <c r="EL42">
        <v>29536</v>
      </c>
      <c r="EM42">
        <v>49658</v>
      </c>
      <c r="EN42">
        <v>98254</v>
      </c>
      <c r="EO42">
        <v>252961</v>
      </c>
      <c r="EP42">
        <v>1939545</v>
      </c>
      <c r="EQ42">
        <v>2435224</v>
      </c>
      <c r="ER42">
        <v>194603</v>
      </c>
      <c r="ES42">
        <v>10993</v>
      </c>
      <c r="ET42">
        <v>547167</v>
      </c>
      <c r="EU42">
        <v>558161</v>
      </c>
      <c r="EV42">
        <v>1372025</v>
      </c>
      <c r="EW42">
        <v>484188</v>
      </c>
    </row>
    <row r="43" spans="1:153" ht="18" x14ac:dyDescent="0.2">
      <c r="A43" t="s">
        <v>138</v>
      </c>
      <c r="B43" t="s">
        <v>145</v>
      </c>
      <c r="C43" t="s">
        <v>212</v>
      </c>
      <c r="D43" t="s">
        <v>234</v>
      </c>
      <c r="E43" t="s">
        <v>245</v>
      </c>
      <c r="G43">
        <v>566</v>
      </c>
      <c r="I43" s="2">
        <v>789</v>
      </c>
      <c r="K43">
        <v>6925</v>
      </c>
      <c r="M43">
        <v>6742</v>
      </c>
      <c r="N43">
        <v>7492</v>
      </c>
      <c r="O43">
        <v>451</v>
      </c>
      <c r="P43">
        <v>4705</v>
      </c>
      <c r="Q43">
        <v>5156</v>
      </c>
      <c r="R43">
        <v>142</v>
      </c>
      <c r="S43">
        <v>340</v>
      </c>
      <c r="T43">
        <v>482</v>
      </c>
      <c r="U43">
        <v>47</v>
      </c>
      <c r="V43">
        <v>430</v>
      </c>
      <c r="W43">
        <v>478</v>
      </c>
      <c r="X43">
        <v>401</v>
      </c>
      <c r="Y43">
        <v>21921</v>
      </c>
      <c r="Z43">
        <v>22323</v>
      </c>
      <c r="AA43">
        <v>57</v>
      </c>
      <c r="AB43">
        <v>4477</v>
      </c>
      <c r="AC43">
        <v>4534</v>
      </c>
      <c r="AD43">
        <v>274</v>
      </c>
      <c r="AE43">
        <v>591</v>
      </c>
      <c r="AF43">
        <v>865</v>
      </c>
      <c r="AG43">
        <v>54</v>
      </c>
      <c r="AH43">
        <v>110399</v>
      </c>
      <c r="AI43">
        <v>110453</v>
      </c>
      <c r="AJ43">
        <v>168</v>
      </c>
      <c r="AK43">
        <v>7886</v>
      </c>
      <c r="AL43">
        <v>8054</v>
      </c>
      <c r="AM43">
        <v>166</v>
      </c>
      <c r="AN43">
        <v>2992</v>
      </c>
      <c r="AO43">
        <v>3158</v>
      </c>
      <c r="AP43">
        <v>984</v>
      </c>
      <c r="AQ43">
        <v>23538</v>
      </c>
      <c r="AR43">
        <v>24522</v>
      </c>
      <c r="AS43">
        <v>30</v>
      </c>
      <c r="AT43">
        <v>334</v>
      </c>
      <c r="AU43">
        <v>364</v>
      </c>
      <c r="AV43">
        <v>664</v>
      </c>
      <c r="AW43">
        <v>3938</v>
      </c>
      <c r="AX43">
        <v>4601</v>
      </c>
      <c r="AY43">
        <v>513</v>
      </c>
      <c r="AZ43">
        <v>3132</v>
      </c>
      <c r="BA43">
        <v>3645</v>
      </c>
      <c r="BB43">
        <v>185</v>
      </c>
      <c r="BC43">
        <v>4702</v>
      </c>
      <c r="BD43">
        <v>4887</v>
      </c>
      <c r="BE43">
        <v>70</v>
      </c>
      <c r="BF43">
        <v>1664</v>
      </c>
      <c r="BG43">
        <v>1734</v>
      </c>
      <c r="BH43">
        <v>90</v>
      </c>
      <c r="BI43">
        <v>513</v>
      </c>
      <c r="BJ43">
        <v>602</v>
      </c>
      <c r="BK43">
        <v>92</v>
      </c>
      <c r="BL43">
        <v>3122</v>
      </c>
      <c r="BM43">
        <v>3214</v>
      </c>
      <c r="BN43">
        <v>62</v>
      </c>
      <c r="BO43">
        <v>4498</v>
      </c>
      <c r="BP43">
        <v>4560</v>
      </c>
      <c r="BQ43">
        <v>11</v>
      </c>
      <c r="BR43">
        <v>24295</v>
      </c>
      <c r="BS43">
        <v>24306</v>
      </c>
      <c r="BT43">
        <v>231</v>
      </c>
      <c r="BU43">
        <v>13418</v>
      </c>
      <c r="BV43">
        <v>13650</v>
      </c>
      <c r="BW43">
        <v>200</v>
      </c>
      <c r="BX43">
        <v>6653</v>
      </c>
      <c r="BY43">
        <v>6853</v>
      </c>
      <c r="BZ43">
        <v>86</v>
      </c>
      <c r="CA43">
        <v>7985</v>
      </c>
      <c r="CB43">
        <v>8071</v>
      </c>
      <c r="CC43">
        <v>4</v>
      </c>
      <c r="CD43">
        <v>907</v>
      </c>
      <c r="CE43">
        <v>911</v>
      </c>
      <c r="CF43">
        <v>137</v>
      </c>
      <c r="CG43">
        <v>4779</v>
      </c>
      <c r="CH43">
        <v>4915</v>
      </c>
      <c r="CI43">
        <v>20</v>
      </c>
      <c r="CJ43">
        <v>2400</v>
      </c>
      <c r="CK43">
        <v>2419</v>
      </c>
      <c r="CL43">
        <v>8620</v>
      </c>
      <c r="CM43">
        <v>10916</v>
      </c>
      <c r="CN43">
        <v>14419</v>
      </c>
      <c r="CO43">
        <v>40229</v>
      </c>
      <c r="CP43">
        <v>46010</v>
      </c>
      <c r="CQ43">
        <v>292</v>
      </c>
      <c r="CR43">
        <v>9879</v>
      </c>
      <c r="CS43">
        <v>5051</v>
      </c>
      <c r="CT43">
        <v>7661</v>
      </c>
      <c r="CU43">
        <v>12060</v>
      </c>
      <c r="CV43">
        <v>872</v>
      </c>
      <c r="CW43">
        <v>211</v>
      </c>
      <c r="CX43">
        <v>1529</v>
      </c>
      <c r="CY43">
        <v>1152</v>
      </c>
      <c r="CZ43">
        <v>536</v>
      </c>
      <c r="DA43">
        <v>26083</v>
      </c>
      <c r="DB43">
        <v>26619</v>
      </c>
      <c r="DC43">
        <v>200</v>
      </c>
      <c r="DD43">
        <v>29904</v>
      </c>
      <c r="DE43">
        <v>30104</v>
      </c>
      <c r="DF43">
        <v>177</v>
      </c>
      <c r="DG43">
        <v>12818</v>
      </c>
      <c r="DH43">
        <v>12995</v>
      </c>
      <c r="DI43">
        <v>1404</v>
      </c>
      <c r="DJ43">
        <v>971</v>
      </c>
      <c r="DK43">
        <v>1263</v>
      </c>
      <c r="DL43">
        <v>3638</v>
      </c>
      <c r="DM43">
        <v>110453</v>
      </c>
      <c r="DN43">
        <v>1365</v>
      </c>
      <c r="DO43">
        <v>1178</v>
      </c>
      <c r="DP43">
        <v>5669</v>
      </c>
      <c r="DQ43">
        <v>18895</v>
      </c>
      <c r="DR43">
        <v>83346</v>
      </c>
      <c r="DS43">
        <v>114091</v>
      </c>
      <c r="DT43">
        <v>34942</v>
      </c>
      <c r="DU43">
        <v>2115</v>
      </c>
      <c r="DV43">
        <v>2072</v>
      </c>
      <c r="DW43">
        <v>1747</v>
      </c>
      <c r="DX43">
        <v>5933</v>
      </c>
      <c r="DY43">
        <v>267395</v>
      </c>
      <c r="DZ43">
        <v>2617</v>
      </c>
      <c r="EA43">
        <v>2412</v>
      </c>
      <c r="EB43">
        <v>8264</v>
      </c>
      <c r="EC43">
        <v>28207</v>
      </c>
      <c r="ED43">
        <v>225895</v>
      </c>
      <c r="EE43">
        <v>273328</v>
      </c>
      <c r="EF43">
        <v>121956</v>
      </c>
      <c r="EG43">
        <v>711</v>
      </c>
      <c r="EH43">
        <v>1100</v>
      </c>
      <c r="EI43">
        <v>483</v>
      </c>
      <c r="EJ43">
        <v>2295</v>
      </c>
      <c r="EK43">
        <v>156942</v>
      </c>
      <c r="EL43">
        <v>1253</v>
      </c>
      <c r="EM43">
        <v>1234</v>
      </c>
      <c r="EN43">
        <v>2595</v>
      </c>
      <c r="EO43">
        <v>9311</v>
      </c>
      <c r="EP43">
        <v>142549</v>
      </c>
      <c r="EQ43">
        <v>159237</v>
      </c>
      <c r="ER43">
        <v>3763</v>
      </c>
      <c r="ES43">
        <v>447</v>
      </c>
      <c r="ET43">
        <v>9903</v>
      </c>
      <c r="EU43">
        <v>10350</v>
      </c>
      <c r="EV43">
        <v>100658</v>
      </c>
      <c r="EW43">
        <v>19537</v>
      </c>
    </row>
    <row r="44" spans="1:153" ht="18" x14ac:dyDescent="0.2">
      <c r="A44" t="s">
        <v>140</v>
      </c>
      <c r="B44" t="s">
        <v>147</v>
      </c>
      <c r="C44" t="s">
        <v>212</v>
      </c>
      <c r="D44" t="s">
        <v>234</v>
      </c>
      <c r="E44" t="s">
        <v>245</v>
      </c>
      <c r="G44">
        <v>8478</v>
      </c>
      <c r="I44" s="2">
        <v>9434</v>
      </c>
      <c r="K44">
        <v>158201</v>
      </c>
      <c r="M44">
        <v>157075</v>
      </c>
      <c r="N44">
        <v>166679</v>
      </c>
      <c r="O44">
        <v>2601</v>
      </c>
      <c r="P44">
        <v>62828</v>
      </c>
      <c r="Q44">
        <v>65429</v>
      </c>
      <c r="R44">
        <v>2013</v>
      </c>
      <c r="S44">
        <v>16284</v>
      </c>
      <c r="T44">
        <v>18297</v>
      </c>
      <c r="U44">
        <v>643</v>
      </c>
      <c r="V44">
        <v>15660</v>
      </c>
      <c r="W44">
        <v>16303</v>
      </c>
      <c r="X44">
        <v>5580</v>
      </c>
      <c r="Y44">
        <v>26676</v>
      </c>
      <c r="Z44">
        <v>32256</v>
      </c>
      <c r="AA44">
        <v>4913</v>
      </c>
      <c r="AB44">
        <v>61103</v>
      </c>
      <c r="AC44">
        <v>66016</v>
      </c>
      <c r="AD44">
        <v>4740</v>
      </c>
      <c r="AE44">
        <v>11808</v>
      </c>
      <c r="AF44">
        <v>16549</v>
      </c>
      <c r="AG44">
        <v>869</v>
      </c>
      <c r="AH44">
        <v>447900</v>
      </c>
      <c r="AI44">
        <v>448769</v>
      </c>
      <c r="AJ44">
        <v>3053</v>
      </c>
      <c r="AK44">
        <v>97200</v>
      </c>
      <c r="AL44">
        <v>100252</v>
      </c>
      <c r="AM44">
        <v>10213</v>
      </c>
      <c r="AN44">
        <v>85601</v>
      </c>
      <c r="AO44">
        <v>95815</v>
      </c>
      <c r="AP44">
        <v>6056</v>
      </c>
      <c r="AQ44">
        <v>96641</v>
      </c>
      <c r="AR44">
        <v>102697</v>
      </c>
      <c r="AS44">
        <v>1428</v>
      </c>
      <c r="AT44">
        <v>6585</v>
      </c>
      <c r="AU44">
        <v>8012</v>
      </c>
      <c r="AV44">
        <v>24608</v>
      </c>
      <c r="AW44">
        <v>45438</v>
      </c>
      <c r="AX44">
        <v>70046</v>
      </c>
      <c r="AY44">
        <v>9294</v>
      </c>
      <c r="AZ44">
        <v>84580</v>
      </c>
      <c r="BA44">
        <v>93874</v>
      </c>
      <c r="BB44">
        <v>3869</v>
      </c>
      <c r="BC44">
        <v>177635</v>
      </c>
      <c r="BD44">
        <v>181504</v>
      </c>
      <c r="BE44">
        <v>3669</v>
      </c>
      <c r="BF44">
        <v>44491</v>
      </c>
      <c r="BG44">
        <v>48160</v>
      </c>
      <c r="BH44">
        <v>1938</v>
      </c>
      <c r="BI44">
        <v>15569</v>
      </c>
      <c r="BJ44">
        <v>17507</v>
      </c>
      <c r="BK44">
        <v>3501</v>
      </c>
      <c r="BL44">
        <v>65979</v>
      </c>
      <c r="BM44">
        <v>69480</v>
      </c>
      <c r="BN44">
        <v>1386</v>
      </c>
      <c r="BO44">
        <v>60174</v>
      </c>
      <c r="BP44">
        <v>61560</v>
      </c>
      <c r="BQ44">
        <v>201</v>
      </c>
      <c r="BR44">
        <v>71073</v>
      </c>
      <c r="BS44">
        <v>71274</v>
      </c>
      <c r="BT44">
        <v>1287</v>
      </c>
      <c r="BU44">
        <v>189921</v>
      </c>
      <c r="BV44">
        <v>191208</v>
      </c>
      <c r="BW44">
        <v>3394</v>
      </c>
      <c r="BX44">
        <v>193896</v>
      </c>
      <c r="BY44">
        <v>197290</v>
      </c>
      <c r="BZ44">
        <v>1561</v>
      </c>
      <c r="CA44">
        <v>69373</v>
      </c>
      <c r="CB44">
        <v>70934</v>
      </c>
      <c r="CC44">
        <v>310</v>
      </c>
      <c r="CD44">
        <v>26863</v>
      </c>
      <c r="CE44">
        <v>27173</v>
      </c>
      <c r="CF44">
        <v>1144</v>
      </c>
      <c r="CG44">
        <v>124702</v>
      </c>
      <c r="CH44">
        <v>125846</v>
      </c>
      <c r="CI44">
        <v>1595</v>
      </c>
      <c r="CJ44">
        <v>84164</v>
      </c>
      <c r="CK44">
        <v>85759</v>
      </c>
      <c r="CL44">
        <v>120958</v>
      </c>
      <c r="CM44">
        <v>122276</v>
      </c>
      <c r="CN44">
        <v>108216</v>
      </c>
      <c r="CO44">
        <v>334984</v>
      </c>
      <c r="CP44">
        <v>232770</v>
      </c>
      <c r="CQ44">
        <v>14890</v>
      </c>
      <c r="CR44">
        <v>105952</v>
      </c>
      <c r="CS44">
        <v>105161</v>
      </c>
      <c r="CT44">
        <v>720789</v>
      </c>
      <c r="CU44">
        <v>86208</v>
      </c>
      <c r="CV44">
        <v>52634</v>
      </c>
      <c r="CW44">
        <v>12321</v>
      </c>
      <c r="CX44">
        <v>13776</v>
      </c>
      <c r="CY44">
        <v>35220</v>
      </c>
      <c r="CZ44">
        <v>5484</v>
      </c>
      <c r="DA44">
        <v>411822</v>
      </c>
      <c r="DB44">
        <v>417306</v>
      </c>
      <c r="DC44">
        <v>4379</v>
      </c>
      <c r="DD44">
        <v>275572</v>
      </c>
      <c r="DE44">
        <v>279951</v>
      </c>
      <c r="DF44">
        <v>4375</v>
      </c>
      <c r="DG44">
        <v>136132</v>
      </c>
      <c r="DH44">
        <v>140506</v>
      </c>
      <c r="DI44">
        <v>24184</v>
      </c>
      <c r="DJ44">
        <v>25672</v>
      </c>
      <c r="DK44">
        <v>20270</v>
      </c>
      <c r="DL44">
        <v>70125</v>
      </c>
      <c r="DM44">
        <v>1089314</v>
      </c>
      <c r="DN44">
        <v>22167</v>
      </c>
      <c r="DO44">
        <v>32624</v>
      </c>
      <c r="DP44">
        <v>55591</v>
      </c>
      <c r="DQ44">
        <v>160745</v>
      </c>
      <c r="DR44">
        <v>818187</v>
      </c>
      <c r="DS44">
        <v>1159439</v>
      </c>
      <c r="DT44">
        <v>1033001</v>
      </c>
      <c r="DU44">
        <v>36872</v>
      </c>
      <c r="DV44">
        <v>41157</v>
      </c>
      <c r="DW44">
        <v>32050</v>
      </c>
      <c r="DX44">
        <v>110079</v>
      </c>
      <c r="DY44">
        <v>2360521</v>
      </c>
      <c r="DZ44">
        <v>39227</v>
      </c>
      <c r="EA44">
        <v>61793</v>
      </c>
      <c r="EB44">
        <v>109239</v>
      </c>
      <c r="EC44">
        <v>301404</v>
      </c>
      <c r="ED44">
        <v>1848859</v>
      </c>
      <c r="EE44">
        <v>2470600</v>
      </c>
      <c r="EF44">
        <v>699017</v>
      </c>
      <c r="EG44">
        <v>12688</v>
      </c>
      <c r="EH44">
        <v>15485</v>
      </c>
      <c r="EI44">
        <v>11780</v>
      </c>
      <c r="EJ44">
        <v>39954</v>
      </c>
      <c r="EK44">
        <v>1271208</v>
      </c>
      <c r="EL44">
        <v>17060</v>
      </c>
      <c r="EM44">
        <v>29168</v>
      </c>
      <c r="EN44">
        <v>53648</v>
      </c>
      <c r="EO44">
        <v>140659</v>
      </c>
      <c r="EP44">
        <v>1030672</v>
      </c>
      <c r="EQ44">
        <v>1311162</v>
      </c>
      <c r="ER44">
        <v>113952</v>
      </c>
      <c r="ES44">
        <v>6726</v>
      </c>
      <c r="ET44">
        <v>298235</v>
      </c>
      <c r="EU44">
        <v>304961</v>
      </c>
      <c r="EV44">
        <v>675970</v>
      </c>
      <c r="EW44">
        <v>243233</v>
      </c>
    </row>
    <row r="45" spans="1:153" ht="18" x14ac:dyDescent="0.2">
      <c r="A45" t="s">
        <v>142</v>
      </c>
      <c r="B45" t="s">
        <v>149</v>
      </c>
      <c r="C45" t="s">
        <v>212</v>
      </c>
      <c r="D45" t="s">
        <v>233</v>
      </c>
      <c r="E45" t="s">
        <v>245</v>
      </c>
      <c r="F45">
        <f>G42+G43-G44</f>
        <v>7214</v>
      </c>
      <c r="G45">
        <v>7214</v>
      </c>
      <c r="H45">
        <f>I42+I43-I44</f>
        <v>7372</v>
      </c>
      <c r="I45" s="2">
        <v>7372</v>
      </c>
      <c r="J45">
        <f>K42+K43-K44</f>
        <v>141011</v>
      </c>
      <c r="K45">
        <v>141012</v>
      </c>
      <c r="L45">
        <f>M42+M43-M44</f>
        <v>139337</v>
      </c>
      <c r="M45">
        <v>139336</v>
      </c>
      <c r="N45">
        <v>148226</v>
      </c>
      <c r="O45">
        <v>2350</v>
      </c>
      <c r="P45">
        <v>60247</v>
      </c>
      <c r="Q45">
        <v>62597</v>
      </c>
      <c r="R45">
        <v>1202</v>
      </c>
      <c r="S45">
        <v>8869</v>
      </c>
      <c r="T45">
        <v>10071</v>
      </c>
      <c r="U45">
        <v>385</v>
      </c>
      <c r="V45">
        <v>8521</v>
      </c>
      <c r="W45">
        <v>8906</v>
      </c>
      <c r="X45">
        <v>2968</v>
      </c>
      <c r="Y45">
        <v>44958</v>
      </c>
      <c r="Z45">
        <v>47926</v>
      </c>
      <c r="AA45">
        <v>2378</v>
      </c>
      <c r="AB45">
        <v>56690</v>
      </c>
      <c r="AC45">
        <v>59069</v>
      </c>
      <c r="AD45">
        <v>2121</v>
      </c>
      <c r="AE45">
        <v>4897</v>
      </c>
      <c r="AF45">
        <v>7018</v>
      </c>
      <c r="AG45">
        <v>544</v>
      </c>
      <c r="AH45">
        <v>494495</v>
      </c>
      <c r="AI45">
        <v>495040</v>
      </c>
      <c r="AJ45">
        <v>2208</v>
      </c>
      <c r="AK45">
        <v>82567</v>
      </c>
      <c r="AL45">
        <v>84776</v>
      </c>
      <c r="AM45">
        <v>5937</v>
      </c>
      <c r="AN45">
        <v>54658</v>
      </c>
      <c r="AO45">
        <v>60595</v>
      </c>
      <c r="AP45">
        <v>3717</v>
      </c>
      <c r="AQ45">
        <v>82241</v>
      </c>
      <c r="AR45">
        <v>85958</v>
      </c>
      <c r="AS45">
        <v>795</v>
      </c>
      <c r="AT45">
        <v>5476</v>
      </c>
      <c r="AU45">
        <v>6271</v>
      </c>
      <c r="AV45">
        <v>12180</v>
      </c>
      <c r="AW45">
        <v>39207</v>
      </c>
      <c r="AX45">
        <v>51387</v>
      </c>
      <c r="AY45">
        <v>5816</v>
      </c>
      <c r="AZ45">
        <v>60939</v>
      </c>
      <c r="BA45">
        <v>66754</v>
      </c>
      <c r="BB45">
        <v>2212</v>
      </c>
      <c r="BC45">
        <v>138699</v>
      </c>
      <c r="BD45">
        <v>140912</v>
      </c>
      <c r="BE45">
        <v>1249</v>
      </c>
      <c r="BF45">
        <v>47118</v>
      </c>
      <c r="BG45">
        <v>48367</v>
      </c>
      <c r="BH45">
        <v>886</v>
      </c>
      <c r="BI45">
        <v>9089</v>
      </c>
      <c r="BJ45">
        <v>9975</v>
      </c>
      <c r="BK45">
        <v>2017</v>
      </c>
      <c r="BL45">
        <v>62686</v>
      </c>
      <c r="BM45">
        <v>64703</v>
      </c>
      <c r="BN45">
        <v>717</v>
      </c>
      <c r="BO45">
        <v>67110</v>
      </c>
      <c r="BP45">
        <v>67826</v>
      </c>
      <c r="BQ45">
        <v>232</v>
      </c>
      <c r="BR45">
        <v>52871</v>
      </c>
      <c r="BS45">
        <v>53103</v>
      </c>
      <c r="BT45">
        <v>1737</v>
      </c>
      <c r="BU45">
        <v>206815</v>
      </c>
      <c r="BV45">
        <v>208552</v>
      </c>
      <c r="BW45">
        <v>2249</v>
      </c>
      <c r="BX45">
        <v>172159</v>
      </c>
      <c r="BY45">
        <v>174408</v>
      </c>
      <c r="BZ45">
        <v>675</v>
      </c>
      <c r="CA45">
        <v>45609</v>
      </c>
      <c r="CB45">
        <v>46283</v>
      </c>
      <c r="CC45">
        <v>163</v>
      </c>
      <c r="CD45">
        <v>18606</v>
      </c>
      <c r="CE45">
        <v>18769</v>
      </c>
      <c r="CF45">
        <v>1533</v>
      </c>
      <c r="CG45">
        <v>136917</v>
      </c>
      <c r="CH45">
        <v>138450</v>
      </c>
      <c r="CI45">
        <v>1217</v>
      </c>
      <c r="CJ45">
        <v>61755</v>
      </c>
      <c r="CK45">
        <v>62973</v>
      </c>
      <c r="CL45">
        <v>112702</v>
      </c>
      <c r="CM45">
        <v>147789</v>
      </c>
      <c r="CN45">
        <v>112130</v>
      </c>
      <c r="CO45">
        <v>433700</v>
      </c>
      <c r="CP45">
        <v>250884</v>
      </c>
      <c r="CQ45">
        <v>7434</v>
      </c>
      <c r="CR45">
        <v>170983</v>
      </c>
      <c r="CS45">
        <v>178580</v>
      </c>
      <c r="CT45">
        <v>512911</v>
      </c>
      <c r="CU45">
        <v>192806</v>
      </c>
      <c r="CV45">
        <v>35954</v>
      </c>
      <c r="CW45">
        <v>8065</v>
      </c>
      <c r="CX45">
        <v>17856</v>
      </c>
      <c r="CY45">
        <v>22540</v>
      </c>
      <c r="CZ45">
        <v>5478</v>
      </c>
      <c r="DA45">
        <v>426300</v>
      </c>
      <c r="DB45">
        <v>431778</v>
      </c>
      <c r="DC45">
        <v>2607</v>
      </c>
      <c r="DD45">
        <v>210176</v>
      </c>
      <c r="DE45">
        <v>212784</v>
      </c>
      <c r="DF45">
        <v>2187</v>
      </c>
      <c r="DG45">
        <v>118194</v>
      </c>
      <c r="DH45">
        <v>120381</v>
      </c>
      <c r="DI45">
        <v>10181</v>
      </c>
      <c r="DJ45">
        <v>13693</v>
      </c>
      <c r="DK45">
        <v>14468</v>
      </c>
      <c r="DL45">
        <v>38341</v>
      </c>
      <c r="DM45">
        <v>933443</v>
      </c>
      <c r="DN45">
        <v>16489</v>
      </c>
      <c r="DO45">
        <v>24519</v>
      </c>
      <c r="DP45">
        <v>53710</v>
      </c>
      <c r="DQ45">
        <v>145604</v>
      </c>
      <c r="DR45">
        <v>693121</v>
      </c>
      <c r="DS45">
        <v>971785</v>
      </c>
      <c r="DT45">
        <v>1062713</v>
      </c>
      <c r="DU45">
        <v>17478</v>
      </c>
      <c r="DV45">
        <v>24651</v>
      </c>
      <c r="DW45">
        <v>23822</v>
      </c>
      <c r="DX45">
        <v>65952</v>
      </c>
      <c r="DY45">
        <v>2189132</v>
      </c>
      <c r="DZ45">
        <v>30217</v>
      </c>
      <c r="EA45">
        <v>46243</v>
      </c>
      <c r="EB45">
        <v>100910</v>
      </c>
      <c r="EC45">
        <v>267218</v>
      </c>
      <c r="ED45">
        <v>1744544</v>
      </c>
      <c r="EE45">
        <v>2255084</v>
      </c>
      <c r="EF45">
        <v>755490</v>
      </c>
      <c r="EG45">
        <v>7298</v>
      </c>
      <c r="EH45">
        <v>10958</v>
      </c>
      <c r="EI45">
        <v>9354</v>
      </c>
      <c r="EJ45">
        <v>27610</v>
      </c>
      <c r="EK45">
        <v>1255689</v>
      </c>
      <c r="EL45">
        <v>13728</v>
      </c>
      <c r="EM45">
        <v>21723</v>
      </c>
      <c r="EN45">
        <v>47200</v>
      </c>
      <c r="EO45">
        <v>121614</v>
      </c>
      <c r="EP45">
        <v>1051423</v>
      </c>
      <c r="EQ45">
        <v>1283299</v>
      </c>
      <c r="ER45">
        <v>84415</v>
      </c>
      <c r="ES45">
        <v>4715</v>
      </c>
      <c r="ET45">
        <v>258836</v>
      </c>
      <c r="EU45">
        <v>263550</v>
      </c>
      <c r="EV45">
        <v>796714</v>
      </c>
      <c r="EW45">
        <v>260491</v>
      </c>
    </row>
    <row r="46" spans="1:153" ht="18" x14ac:dyDescent="0.2">
      <c r="A46" t="s">
        <v>144</v>
      </c>
      <c r="B46" t="s">
        <v>151</v>
      </c>
      <c r="C46" t="s">
        <v>212</v>
      </c>
      <c r="D46" t="s">
        <v>233</v>
      </c>
      <c r="E46" t="s">
        <v>245</v>
      </c>
      <c r="G46">
        <v>0</v>
      </c>
      <c r="I46" s="2">
        <v>0</v>
      </c>
      <c r="K46">
        <v>30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30</v>
      </c>
      <c r="Z46">
        <v>0</v>
      </c>
      <c r="AA46">
        <v>0</v>
      </c>
      <c r="AB46">
        <v>14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447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206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103</v>
      </c>
      <c r="AX46">
        <v>0</v>
      </c>
      <c r="AY46">
        <v>0</v>
      </c>
      <c r="AZ46">
        <v>93</v>
      </c>
      <c r="BA46">
        <v>0</v>
      </c>
      <c r="BB46">
        <v>0</v>
      </c>
      <c r="BC46">
        <v>476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9</v>
      </c>
      <c r="BJ46">
        <v>0</v>
      </c>
      <c r="BK46">
        <v>0</v>
      </c>
      <c r="BL46">
        <v>854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6744</v>
      </c>
      <c r="BY46">
        <v>0</v>
      </c>
      <c r="BZ46">
        <v>0</v>
      </c>
      <c r="CA46">
        <v>39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4012</v>
      </c>
      <c r="CH46">
        <v>0</v>
      </c>
      <c r="CI46">
        <v>0</v>
      </c>
      <c r="CJ46">
        <v>82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4012</v>
      </c>
      <c r="DB46">
        <v>0</v>
      </c>
      <c r="DC46">
        <v>0</v>
      </c>
      <c r="DD46">
        <v>476</v>
      </c>
      <c r="DE46">
        <v>0</v>
      </c>
      <c r="DF46">
        <v>0</v>
      </c>
      <c r="DG46">
        <v>39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8431</v>
      </c>
      <c r="DN46">
        <v>13</v>
      </c>
      <c r="DO46">
        <v>138</v>
      </c>
      <c r="DP46">
        <v>11</v>
      </c>
      <c r="DQ46">
        <v>42</v>
      </c>
      <c r="DR46">
        <v>8227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13141</v>
      </c>
      <c r="DZ46">
        <v>43</v>
      </c>
      <c r="EA46">
        <v>138</v>
      </c>
      <c r="EB46">
        <v>272</v>
      </c>
      <c r="EC46">
        <v>108</v>
      </c>
      <c r="ED46">
        <v>12580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4710</v>
      </c>
      <c r="EL46">
        <v>30</v>
      </c>
      <c r="EM46">
        <v>0</v>
      </c>
      <c r="EN46">
        <v>261</v>
      </c>
      <c r="EO46">
        <v>66</v>
      </c>
      <c r="EP46">
        <v>4352</v>
      </c>
      <c r="EQ46">
        <v>0</v>
      </c>
      <c r="ER46">
        <v>0</v>
      </c>
      <c r="ES46">
        <v>0</v>
      </c>
      <c r="ET46">
        <v>6826</v>
      </c>
      <c r="EU46">
        <v>0</v>
      </c>
      <c r="EV46">
        <v>0</v>
      </c>
      <c r="EW46">
        <v>0</v>
      </c>
    </row>
    <row r="47" spans="1:153" ht="18" x14ac:dyDescent="0.2">
      <c r="A47" t="s">
        <v>146</v>
      </c>
      <c r="B47" t="s">
        <v>196</v>
      </c>
      <c r="C47" t="s">
        <v>212</v>
      </c>
      <c r="D47" t="s">
        <v>233</v>
      </c>
      <c r="E47" t="s">
        <v>245</v>
      </c>
      <c r="G47">
        <v>2441</v>
      </c>
      <c r="I47" s="2">
        <v>2544</v>
      </c>
      <c r="K47">
        <v>598711</v>
      </c>
      <c r="M47">
        <v>600665</v>
      </c>
      <c r="N47">
        <v>601182</v>
      </c>
      <c r="O47">
        <v>587</v>
      </c>
      <c r="P47">
        <v>590354</v>
      </c>
      <c r="Q47">
        <v>590941</v>
      </c>
      <c r="R47">
        <v>238</v>
      </c>
      <c r="S47">
        <v>15677</v>
      </c>
      <c r="T47">
        <v>15915</v>
      </c>
      <c r="U47">
        <v>288</v>
      </c>
      <c r="V47">
        <v>55050</v>
      </c>
      <c r="W47">
        <v>55337</v>
      </c>
      <c r="X47">
        <v>598</v>
      </c>
      <c r="Y47">
        <v>26981</v>
      </c>
      <c r="Z47">
        <v>27609</v>
      </c>
      <c r="AA47">
        <v>692</v>
      </c>
      <c r="AB47">
        <v>92707</v>
      </c>
      <c r="AC47">
        <v>93413</v>
      </c>
      <c r="AD47">
        <v>618</v>
      </c>
      <c r="AE47">
        <v>26354</v>
      </c>
      <c r="AF47">
        <v>26972</v>
      </c>
      <c r="AG47">
        <v>221</v>
      </c>
      <c r="AH47">
        <v>601885</v>
      </c>
      <c r="AI47">
        <v>602554</v>
      </c>
      <c r="AJ47">
        <v>1073</v>
      </c>
      <c r="AK47">
        <v>359439</v>
      </c>
      <c r="AL47">
        <v>360512</v>
      </c>
      <c r="AM47">
        <v>2396</v>
      </c>
      <c r="AN47">
        <v>135560</v>
      </c>
      <c r="AO47">
        <v>138162</v>
      </c>
      <c r="AP47">
        <v>904</v>
      </c>
      <c r="AQ47">
        <v>94601</v>
      </c>
      <c r="AR47">
        <v>95505</v>
      </c>
      <c r="AS47">
        <v>202</v>
      </c>
      <c r="AT47">
        <v>30288</v>
      </c>
      <c r="AU47">
        <v>30490</v>
      </c>
      <c r="AV47">
        <v>5319</v>
      </c>
      <c r="AW47">
        <v>155759</v>
      </c>
      <c r="AX47">
        <v>161181</v>
      </c>
      <c r="AY47">
        <v>3079</v>
      </c>
      <c r="AZ47">
        <v>403460</v>
      </c>
      <c r="BA47">
        <v>406632</v>
      </c>
      <c r="BB47">
        <v>1811</v>
      </c>
      <c r="BC47">
        <v>1073472</v>
      </c>
      <c r="BD47">
        <v>1075759</v>
      </c>
      <c r="BE47">
        <v>556</v>
      </c>
      <c r="BF47">
        <v>192852</v>
      </c>
      <c r="BG47">
        <v>193408</v>
      </c>
      <c r="BH47">
        <v>439</v>
      </c>
      <c r="BI47">
        <v>35192</v>
      </c>
      <c r="BJ47">
        <v>35641</v>
      </c>
      <c r="BK47">
        <v>1287</v>
      </c>
      <c r="BL47">
        <v>534762</v>
      </c>
      <c r="BM47">
        <v>536903</v>
      </c>
      <c r="BN47">
        <v>222</v>
      </c>
      <c r="BO47">
        <v>53143</v>
      </c>
      <c r="BP47">
        <v>53365</v>
      </c>
      <c r="BQ47">
        <v>328</v>
      </c>
      <c r="BR47">
        <v>278855</v>
      </c>
      <c r="BS47">
        <v>279183</v>
      </c>
      <c r="BT47">
        <v>508</v>
      </c>
      <c r="BU47">
        <v>315787</v>
      </c>
      <c r="BV47">
        <v>316295</v>
      </c>
      <c r="BW47">
        <v>1090</v>
      </c>
      <c r="BX47">
        <v>360393</v>
      </c>
      <c r="BY47">
        <v>368227</v>
      </c>
      <c r="BZ47">
        <v>700</v>
      </c>
      <c r="CA47">
        <v>98550</v>
      </c>
      <c r="CB47">
        <v>99288</v>
      </c>
      <c r="CC47">
        <v>98</v>
      </c>
      <c r="CD47">
        <v>200074</v>
      </c>
      <c r="CE47">
        <v>200173</v>
      </c>
      <c r="CF47">
        <v>650</v>
      </c>
      <c r="CG47">
        <v>1237310</v>
      </c>
      <c r="CH47">
        <v>1241973</v>
      </c>
      <c r="CI47">
        <v>289</v>
      </c>
      <c r="CJ47">
        <v>275342</v>
      </c>
      <c r="CK47">
        <v>275713</v>
      </c>
      <c r="CL47">
        <v>346214</v>
      </c>
      <c r="CM47">
        <v>301797</v>
      </c>
      <c r="CN47">
        <v>78633</v>
      </c>
      <c r="CO47">
        <v>429837</v>
      </c>
      <c r="CP47">
        <v>544077</v>
      </c>
      <c r="CQ47">
        <v>50895</v>
      </c>
      <c r="CR47">
        <v>931611</v>
      </c>
      <c r="CS47">
        <v>468491</v>
      </c>
      <c r="CT47">
        <v>1078175</v>
      </c>
      <c r="CU47">
        <v>396842</v>
      </c>
      <c r="CV47">
        <v>723958</v>
      </c>
      <c r="CW47">
        <v>156161</v>
      </c>
      <c r="CX47">
        <v>89216</v>
      </c>
      <c r="CY47">
        <v>261682</v>
      </c>
      <c r="CZ47">
        <v>2232</v>
      </c>
      <c r="DA47">
        <v>1912535</v>
      </c>
      <c r="DB47">
        <v>1918780</v>
      </c>
      <c r="DC47">
        <v>2238</v>
      </c>
      <c r="DD47">
        <v>1552401</v>
      </c>
      <c r="DE47">
        <v>1555116</v>
      </c>
      <c r="DF47">
        <v>1124</v>
      </c>
      <c r="DG47">
        <v>181980</v>
      </c>
      <c r="DH47">
        <v>183144</v>
      </c>
      <c r="DI47">
        <v>3166</v>
      </c>
      <c r="DJ47">
        <v>6995</v>
      </c>
      <c r="DK47">
        <v>7149</v>
      </c>
      <c r="DL47">
        <v>17310</v>
      </c>
      <c r="DM47">
        <v>3876985</v>
      </c>
      <c r="DN47">
        <v>10643</v>
      </c>
      <c r="DO47">
        <v>22569</v>
      </c>
      <c r="DP47">
        <v>74657</v>
      </c>
      <c r="DQ47">
        <v>383097</v>
      </c>
      <c r="DR47">
        <v>3386018</v>
      </c>
      <c r="DS47">
        <v>3902726</v>
      </c>
      <c r="DT47">
        <v>2926015</v>
      </c>
      <c r="DU47">
        <v>4670</v>
      </c>
      <c r="DV47">
        <v>11005</v>
      </c>
      <c r="DW47">
        <v>11348</v>
      </c>
      <c r="DX47">
        <v>27023</v>
      </c>
      <c r="DY47">
        <v>7905818</v>
      </c>
      <c r="DZ47">
        <v>19343</v>
      </c>
      <c r="EA47">
        <v>39150</v>
      </c>
      <c r="EB47">
        <v>134571</v>
      </c>
      <c r="EC47">
        <v>639958</v>
      </c>
      <c r="ED47">
        <v>7072796</v>
      </c>
      <c r="EE47">
        <v>7945982</v>
      </c>
      <c r="EF47">
        <v>252596</v>
      </c>
      <c r="EG47">
        <v>1504</v>
      </c>
      <c r="EH47">
        <v>4011</v>
      </c>
      <c r="EI47">
        <v>4198</v>
      </c>
      <c r="EJ47">
        <v>9713</v>
      </c>
      <c r="EK47">
        <v>4028833</v>
      </c>
      <c r="EL47">
        <v>8700</v>
      </c>
      <c r="EM47">
        <v>16581</v>
      </c>
      <c r="EN47">
        <v>59914</v>
      </c>
      <c r="EO47">
        <v>256861</v>
      </c>
      <c r="EP47">
        <v>3686778</v>
      </c>
      <c r="EQ47">
        <v>4043256</v>
      </c>
      <c r="ER47">
        <v>1231017</v>
      </c>
      <c r="ES47">
        <v>1766</v>
      </c>
      <c r="ET47">
        <v>698995</v>
      </c>
      <c r="EU47">
        <v>707588</v>
      </c>
      <c r="EV47">
        <v>1052546</v>
      </c>
      <c r="EW47">
        <v>648011</v>
      </c>
    </row>
    <row r="48" spans="1:153" ht="18" x14ac:dyDescent="0.2">
      <c r="A48" t="s">
        <v>148</v>
      </c>
      <c r="B48" t="s">
        <v>155</v>
      </c>
      <c r="C48" t="s">
        <v>213</v>
      </c>
      <c r="D48" t="s">
        <v>227</v>
      </c>
      <c r="F48">
        <f>F41+F45+G46+G47</f>
        <v>24140</v>
      </c>
      <c r="G48">
        <v>24140</v>
      </c>
      <c r="H48">
        <f>H41+H45+I46+I47</f>
        <v>22802</v>
      </c>
      <c r="I48" s="2">
        <v>22801</v>
      </c>
      <c r="J48">
        <f>J41+J45+K46+K47</f>
        <v>963670</v>
      </c>
      <c r="K48">
        <v>963670</v>
      </c>
      <c r="L48">
        <f>L41+L45+M46+M47</f>
        <v>954035</v>
      </c>
      <c r="M48">
        <v>954035</v>
      </c>
      <c r="N48">
        <v>987810</v>
      </c>
      <c r="O48">
        <v>5077</v>
      </c>
      <c r="P48">
        <v>740467</v>
      </c>
      <c r="Q48">
        <v>745544</v>
      </c>
      <c r="R48">
        <v>3927</v>
      </c>
      <c r="S48">
        <v>38257</v>
      </c>
      <c r="T48">
        <v>42184</v>
      </c>
      <c r="U48">
        <v>2726</v>
      </c>
      <c r="V48">
        <v>107147</v>
      </c>
      <c r="W48">
        <v>109874</v>
      </c>
      <c r="X48">
        <v>9921</v>
      </c>
      <c r="Y48">
        <v>132813</v>
      </c>
      <c r="Z48">
        <v>142735</v>
      </c>
      <c r="AA48">
        <v>7739</v>
      </c>
      <c r="AB48">
        <v>184985</v>
      </c>
      <c r="AC48">
        <v>192725</v>
      </c>
      <c r="AD48">
        <v>6484</v>
      </c>
      <c r="AE48">
        <v>41737</v>
      </c>
      <c r="AF48">
        <v>48221</v>
      </c>
      <c r="AG48">
        <v>1764</v>
      </c>
      <c r="AH48">
        <v>1311381</v>
      </c>
      <c r="AI48">
        <v>1313144</v>
      </c>
      <c r="AJ48">
        <v>9687</v>
      </c>
      <c r="AK48">
        <v>552656</v>
      </c>
      <c r="AL48">
        <v>562343</v>
      </c>
      <c r="AM48">
        <v>17328</v>
      </c>
      <c r="AN48">
        <v>279697</v>
      </c>
      <c r="AO48">
        <v>297025</v>
      </c>
      <c r="AP48">
        <v>9509</v>
      </c>
      <c r="AQ48">
        <v>248157</v>
      </c>
      <c r="AR48">
        <v>257666</v>
      </c>
      <c r="AS48">
        <v>2433</v>
      </c>
      <c r="AT48">
        <v>45877</v>
      </c>
      <c r="AU48">
        <v>48310</v>
      </c>
      <c r="AV48">
        <v>52668</v>
      </c>
      <c r="AW48">
        <v>276972</v>
      </c>
      <c r="AX48">
        <v>329640</v>
      </c>
      <c r="AY48">
        <v>29362</v>
      </c>
      <c r="AZ48">
        <v>679687</v>
      </c>
      <c r="BA48">
        <v>709048</v>
      </c>
      <c r="BB48">
        <v>14024</v>
      </c>
      <c r="BC48">
        <v>1516539</v>
      </c>
      <c r="BD48">
        <v>1530564</v>
      </c>
      <c r="BE48">
        <v>8042</v>
      </c>
      <c r="BF48">
        <v>354602</v>
      </c>
      <c r="BG48">
        <v>362644</v>
      </c>
      <c r="BH48">
        <v>5032</v>
      </c>
      <c r="BI48">
        <v>64794</v>
      </c>
      <c r="BJ48">
        <v>69825</v>
      </c>
      <c r="BK48">
        <v>10035</v>
      </c>
      <c r="BL48">
        <v>735676</v>
      </c>
      <c r="BM48">
        <v>745711</v>
      </c>
      <c r="BN48">
        <v>2921</v>
      </c>
      <c r="BO48">
        <v>178903</v>
      </c>
      <c r="BP48">
        <v>181823</v>
      </c>
      <c r="BQ48">
        <v>1623</v>
      </c>
      <c r="BR48">
        <v>476878</v>
      </c>
      <c r="BS48">
        <v>478501</v>
      </c>
      <c r="BT48">
        <v>4766</v>
      </c>
      <c r="BU48">
        <v>650221</v>
      </c>
      <c r="BV48">
        <v>654987</v>
      </c>
      <c r="BW48">
        <v>8894</v>
      </c>
      <c r="BX48">
        <v>883703</v>
      </c>
      <c r="BY48">
        <v>892597</v>
      </c>
      <c r="BZ48">
        <v>3652</v>
      </c>
      <c r="CA48">
        <v>187407</v>
      </c>
      <c r="CB48">
        <v>191058</v>
      </c>
      <c r="CC48">
        <v>1590</v>
      </c>
      <c r="CD48">
        <v>313651</v>
      </c>
      <c r="CE48">
        <v>315242</v>
      </c>
      <c r="CF48">
        <v>4725</v>
      </c>
      <c r="CG48">
        <v>1789523</v>
      </c>
      <c r="CH48">
        <v>1794248</v>
      </c>
      <c r="CI48">
        <v>3759</v>
      </c>
      <c r="CJ48">
        <v>635171</v>
      </c>
      <c r="CK48">
        <v>638930</v>
      </c>
      <c r="CL48">
        <v>1048037</v>
      </c>
      <c r="CM48">
        <v>871166</v>
      </c>
      <c r="CN48">
        <v>256940</v>
      </c>
      <c r="CO48">
        <v>1227314</v>
      </c>
      <c r="CP48">
        <v>1210441</v>
      </c>
      <c r="CQ48">
        <v>72137</v>
      </c>
      <c r="CR48">
        <v>1455572</v>
      </c>
      <c r="CS48">
        <v>816584</v>
      </c>
      <c r="CT48">
        <v>1756770</v>
      </c>
      <c r="CU48">
        <v>824169</v>
      </c>
      <c r="CV48">
        <v>1003871</v>
      </c>
      <c r="CW48">
        <v>228618</v>
      </c>
      <c r="CX48">
        <v>252048</v>
      </c>
      <c r="CY48">
        <v>421681</v>
      </c>
      <c r="CZ48">
        <v>19178</v>
      </c>
      <c r="DA48">
        <v>2992400</v>
      </c>
      <c r="DB48">
        <v>3011578</v>
      </c>
      <c r="DC48">
        <v>17238</v>
      </c>
      <c r="DD48">
        <v>2307069</v>
      </c>
      <c r="DE48">
        <v>2324307</v>
      </c>
      <c r="DF48">
        <v>9005</v>
      </c>
      <c r="DG48">
        <v>412187</v>
      </c>
      <c r="DH48">
        <v>421192</v>
      </c>
      <c r="DI48">
        <v>44071</v>
      </c>
      <c r="DJ48">
        <v>66054</v>
      </c>
      <c r="DK48">
        <v>57789</v>
      </c>
      <c r="DL48">
        <v>167914</v>
      </c>
      <c r="DM48">
        <v>6920540</v>
      </c>
      <c r="DN48">
        <v>66999</v>
      </c>
      <c r="DO48">
        <v>110588</v>
      </c>
      <c r="DP48">
        <v>219297</v>
      </c>
      <c r="DQ48">
        <v>804354</v>
      </c>
      <c r="DR48">
        <v>5719301</v>
      </c>
      <c r="DS48">
        <v>7088454</v>
      </c>
      <c r="DT48">
        <v>4925232</v>
      </c>
      <c r="DU48">
        <v>64378</v>
      </c>
      <c r="DV48">
        <v>102160</v>
      </c>
      <c r="DW48">
        <v>89739</v>
      </c>
      <c r="DX48">
        <v>256278</v>
      </c>
      <c r="DY48">
        <v>13580281</v>
      </c>
      <c r="DZ48">
        <v>114534</v>
      </c>
      <c r="EA48">
        <v>185318</v>
      </c>
      <c r="EB48">
        <v>405084</v>
      </c>
      <c r="EC48">
        <v>1350795</v>
      </c>
      <c r="ED48">
        <v>11524550</v>
      </c>
      <c r="EE48">
        <v>13836559</v>
      </c>
      <c r="EF48">
        <v>1150332</v>
      </c>
      <c r="EG48">
        <v>20308</v>
      </c>
      <c r="EH48">
        <v>36106</v>
      </c>
      <c r="EI48">
        <v>31950</v>
      </c>
      <c r="EJ48">
        <v>88364</v>
      </c>
      <c r="EK48">
        <v>6659741</v>
      </c>
      <c r="EL48">
        <v>47535</v>
      </c>
      <c r="EM48">
        <v>74731</v>
      </c>
      <c r="EN48">
        <v>185787</v>
      </c>
      <c r="EO48">
        <v>546441</v>
      </c>
      <c r="EP48">
        <v>5805248</v>
      </c>
      <c r="EQ48">
        <v>6748105</v>
      </c>
      <c r="ER48">
        <v>1906218</v>
      </c>
      <c r="ES48">
        <v>17102</v>
      </c>
      <c r="ET48">
        <v>1708583</v>
      </c>
      <c r="EU48">
        <v>1725685</v>
      </c>
      <c r="EV48">
        <v>2694695</v>
      </c>
      <c r="EW48">
        <v>1919203</v>
      </c>
    </row>
    <row r="49" spans="1:153" ht="18" x14ac:dyDescent="0.2">
      <c r="A49" t="s">
        <v>150</v>
      </c>
      <c r="B49" t="s">
        <v>157</v>
      </c>
      <c r="C49" t="s">
        <v>214</v>
      </c>
      <c r="D49" t="s">
        <v>232</v>
      </c>
      <c r="E49" t="s">
        <v>245</v>
      </c>
      <c r="G49">
        <v>885</v>
      </c>
      <c r="I49" s="2">
        <v>811</v>
      </c>
      <c r="K49">
        <v>7818</v>
      </c>
      <c r="M49">
        <v>5709</v>
      </c>
      <c r="N49">
        <v>8703</v>
      </c>
      <c r="O49">
        <v>160</v>
      </c>
      <c r="P49">
        <v>1437</v>
      </c>
      <c r="Q49">
        <v>1598</v>
      </c>
      <c r="R49">
        <v>198</v>
      </c>
      <c r="S49">
        <v>198</v>
      </c>
      <c r="T49">
        <v>396</v>
      </c>
      <c r="U49">
        <v>110</v>
      </c>
      <c r="V49">
        <v>91</v>
      </c>
      <c r="W49">
        <v>201</v>
      </c>
      <c r="X49">
        <v>344</v>
      </c>
      <c r="Y49">
        <v>642</v>
      </c>
      <c r="Z49">
        <v>986</v>
      </c>
      <c r="AA49">
        <v>180</v>
      </c>
      <c r="AB49">
        <v>2125</v>
      </c>
      <c r="AC49">
        <v>2305</v>
      </c>
      <c r="AD49">
        <v>194</v>
      </c>
      <c r="AE49">
        <v>277</v>
      </c>
      <c r="AF49">
        <v>471</v>
      </c>
      <c r="AG49">
        <v>50</v>
      </c>
      <c r="AH49">
        <v>239</v>
      </c>
      <c r="AI49">
        <v>289</v>
      </c>
      <c r="AJ49">
        <v>380</v>
      </c>
      <c r="AK49">
        <v>6309</v>
      </c>
      <c r="AL49">
        <v>6688</v>
      </c>
      <c r="AM49">
        <v>642</v>
      </c>
      <c r="AN49">
        <v>4507</v>
      </c>
      <c r="AO49">
        <v>5149</v>
      </c>
      <c r="AP49">
        <v>54</v>
      </c>
      <c r="AQ49">
        <v>669</v>
      </c>
      <c r="AR49">
        <v>723</v>
      </c>
      <c r="AS49">
        <v>195</v>
      </c>
      <c r="AT49">
        <v>155</v>
      </c>
      <c r="AU49">
        <v>350</v>
      </c>
      <c r="AV49">
        <v>1018</v>
      </c>
      <c r="AW49">
        <v>2933</v>
      </c>
      <c r="AX49">
        <v>3951</v>
      </c>
      <c r="AY49">
        <v>735</v>
      </c>
      <c r="AZ49">
        <v>1511</v>
      </c>
      <c r="BA49">
        <v>2247</v>
      </c>
      <c r="BB49">
        <v>182</v>
      </c>
      <c r="BC49">
        <v>4344</v>
      </c>
      <c r="BD49">
        <v>4526</v>
      </c>
      <c r="BE49">
        <v>148</v>
      </c>
      <c r="BF49">
        <v>5662</v>
      </c>
      <c r="BG49">
        <v>5811</v>
      </c>
      <c r="BH49">
        <v>135</v>
      </c>
      <c r="BI49">
        <v>165</v>
      </c>
      <c r="BJ49">
        <v>300</v>
      </c>
      <c r="BK49">
        <v>397</v>
      </c>
      <c r="BL49">
        <v>1635</v>
      </c>
      <c r="BM49">
        <v>2032</v>
      </c>
      <c r="BN49">
        <v>54</v>
      </c>
      <c r="BO49">
        <v>1355</v>
      </c>
      <c r="BP49">
        <v>1408</v>
      </c>
      <c r="BQ49">
        <v>16</v>
      </c>
      <c r="BR49">
        <v>200</v>
      </c>
      <c r="BS49">
        <v>216</v>
      </c>
      <c r="BT49">
        <v>94</v>
      </c>
      <c r="BU49">
        <v>3761</v>
      </c>
      <c r="BV49">
        <v>3855</v>
      </c>
      <c r="BW49">
        <v>389</v>
      </c>
      <c r="BX49">
        <v>7701</v>
      </c>
      <c r="BY49">
        <v>8089</v>
      </c>
      <c r="BZ49">
        <v>163</v>
      </c>
      <c r="CA49">
        <v>649</v>
      </c>
      <c r="CB49">
        <v>812</v>
      </c>
      <c r="CC49">
        <v>50</v>
      </c>
      <c r="CD49">
        <v>622</v>
      </c>
      <c r="CE49">
        <v>672</v>
      </c>
      <c r="CF49">
        <v>203</v>
      </c>
      <c r="CG49">
        <v>812</v>
      </c>
      <c r="CH49">
        <v>1015</v>
      </c>
      <c r="CI49">
        <v>124</v>
      </c>
      <c r="CJ49">
        <v>1237</v>
      </c>
      <c r="CK49">
        <v>1361</v>
      </c>
      <c r="CL49">
        <v>33467</v>
      </c>
      <c r="CM49">
        <v>11571</v>
      </c>
      <c r="CN49">
        <v>779</v>
      </c>
      <c r="CO49">
        <v>796</v>
      </c>
      <c r="CP49">
        <v>19422</v>
      </c>
      <c r="CQ49">
        <v>292</v>
      </c>
      <c r="CR49">
        <v>1379</v>
      </c>
      <c r="CS49">
        <v>21</v>
      </c>
      <c r="CT49">
        <v>20</v>
      </c>
      <c r="CU49">
        <v>1107</v>
      </c>
      <c r="CV49">
        <v>3356</v>
      </c>
      <c r="CW49">
        <v>806</v>
      </c>
      <c r="CX49">
        <v>223</v>
      </c>
      <c r="CY49">
        <v>2288</v>
      </c>
      <c r="CZ49">
        <v>677</v>
      </c>
      <c r="DA49">
        <v>10881</v>
      </c>
      <c r="DB49">
        <v>11559</v>
      </c>
      <c r="DC49">
        <v>247</v>
      </c>
      <c r="DD49">
        <v>5166</v>
      </c>
      <c r="DE49">
        <v>5413</v>
      </c>
      <c r="DF49">
        <v>411</v>
      </c>
      <c r="DG49">
        <v>2159</v>
      </c>
      <c r="DH49">
        <v>2571</v>
      </c>
      <c r="DI49">
        <v>931</v>
      </c>
      <c r="DJ49">
        <v>1871</v>
      </c>
      <c r="DK49">
        <v>1361</v>
      </c>
      <c r="DL49">
        <v>4163</v>
      </c>
      <c r="DM49">
        <v>30095</v>
      </c>
      <c r="DN49">
        <v>1613</v>
      </c>
      <c r="DO49">
        <v>5687</v>
      </c>
      <c r="DP49">
        <v>3666</v>
      </c>
      <c r="DQ49">
        <v>4332</v>
      </c>
      <c r="DR49">
        <v>14797</v>
      </c>
      <c r="DS49">
        <v>34259</v>
      </c>
      <c r="DT49">
        <v>2818</v>
      </c>
      <c r="DU49">
        <v>1518</v>
      </c>
      <c r="DV49">
        <v>3263</v>
      </c>
      <c r="DW49">
        <v>2479</v>
      </c>
      <c r="DX49">
        <v>7260</v>
      </c>
      <c r="DY49">
        <v>57669</v>
      </c>
      <c r="DZ49">
        <v>3268</v>
      </c>
      <c r="EA49">
        <v>7962</v>
      </c>
      <c r="EB49">
        <v>6701</v>
      </c>
      <c r="EC49">
        <v>8385</v>
      </c>
      <c r="ED49">
        <v>31353</v>
      </c>
      <c r="EE49">
        <v>64929</v>
      </c>
      <c r="EF49">
        <v>1335</v>
      </c>
      <c r="EG49">
        <v>587</v>
      </c>
      <c r="EH49">
        <v>1392</v>
      </c>
      <c r="EI49">
        <v>1117</v>
      </c>
      <c r="EJ49">
        <v>3096</v>
      </c>
      <c r="EK49">
        <v>27574</v>
      </c>
      <c r="EL49">
        <v>1655</v>
      </c>
      <c r="EM49">
        <v>2275</v>
      </c>
      <c r="EN49">
        <v>3036</v>
      </c>
      <c r="EO49">
        <v>4053</v>
      </c>
      <c r="EP49">
        <v>16555</v>
      </c>
      <c r="EQ49">
        <v>30670</v>
      </c>
      <c r="ER49">
        <v>6673</v>
      </c>
      <c r="ES49">
        <v>674</v>
      </c>
      <c r="ET49">
        <v>9552</v>
      </c>
      <c r="EU49">
        <v>10226</v>
      </c>
      <c r="EV49">
        <v>20997</v>
      </c>
      <c r="EW49">
        <v>45038</v>
      </c>
    </row>
    <row r="50" spans="1:153" ht="18" x14ac:dyDescent="0.2">
      <c r="A50" t="s">
        <v>152</v>
      </c>
      <c r="B50" t="s">
        <v>159</v>
      </c>
      <c r="C50" t="s">
        <v>214</v>
      </c>
      <c r="D50" t="s">
        <v>232</v>
      </c>
      <c r="E50" t="s">
        <v>245</v>
      </c>
      <c r="G50">
        <v>0</v>
      </c>
      <c r="I50" s="2">
        <v>0</v>
      </c>
      <c r="K50">
        <v>3734</v>
      </c>
      <c r="M50">
        <v>5113</v>
      </c>
      <c r="N50">
        <v>0</v>
      </c>
      <c r="O50">
        <v>0</v>
      </c>
      <c r="P50">
        <v>13841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9670</v>
      </c>
      <c r="AI50">
        <v>0</v>
      </c>
      <c r="AJ50">
        <v>0</v>
      </c>
      <c r="AK50">
        <v>16971</v>
      </c>
      <c r="AL50">
        <v>0</v>
      </c>
      <c r="AM50">
        <v>0</v>
      </c>
      <c r="AN50">
        <v>58</v>
      </c>
      <c r="AO50">
        <v>0</v>
      </c>
      <c r="AP50">
        <v>0</v>
      </c>
      <c r="AQ50">
        <v>35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3936</v>
      </c>
      <c r="AX50">
        <v>0</v>
      </c>
      <c r="AY50">
        <v>0</v>
      </c>
      <c r="AZ50">
        <v>5545</v>
      </c>
      <c r="BA50">
        <v>0</v>
      </c>
      <c r="BB50">
        <v>0</v>
      </c>
      <c r="BC50">
        <v>6538</v>
      </c>
      <c r="BD50">
        <v>0</v>
      </c>
      <c r="BE50">
        <v>0</v>
      </c>
      <c r="BF50">
        <v>5221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2</v>
      </c>
      <c r="BM50">
        <v>0</v>
      </c>
      <c r="BN50">
        <v>0</v>
      </c>
      <c r="BO50">
        <v>90</v>
      </c>
      <c r="BP50">
        <v>0</v>
      </c>
      <c r="BQ50">
        <v>0</v>
      </c>
      <c r="BR50">
        <v>7093</v>
      </c>
      <c r="BS50">
        <v>0</v>
      </c>
      <c r="BT50">
        <v>0</v>
      </c>
      <c r="BU50">
        <v>1663</v>
      </c>
      <c r="BV50">
        <v>0</v>
      </c>
      <c r="BW50">
        <v>0</v>
      </c>
      <c r="BX50">
        <v>175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10604</v>
      </c>
      <c r="CE50">
        <v>0</v>
      </c>
      <c r="CF50">
        <v>0</v>
      </c>
      <c r="CG50">
        <v>16005</v>
      </c>
      <c r="CH50">
        <v>0</v>
      </c>
      <c r="CI50">
        <v>0</v>
      </c>
      <c r="CJ50">
        <v>7244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34639</v>
      </c>
      <c r="DB50">
        <v>0</v>
      </c>
      <c r="DC50">
        <v>0</v>
      </c>
      <c r="DD50">
        <v>24234</v>
      </c>
      <c r="DE50">
        <v>0</v>
      </c>
      <c r="DF50">
        <v>0</v>
      </c>
      <c r="DG50">
        <v>90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48199</v>
      </c>
      <c r="DN50">
        <v>20</v>
      </c>
      <c r="DO50">
        <v>5</v>
      </c>
      <c r="DP50">
        <v>106</v>
      </c>
      <c r="DQ50">
        <v>1194</v>
      </c>
      <c r="DR50">
        <v>46874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110142</v>
      </c>
      <c r="DZ50">
        <v>30</v>
      </c>
      <c r="EA50">
        <v>56</v>
      </c>
      <c r="EB50">
        <v>107</v>
      </c>
      <c r="EC50">
        <v>1511</v>
      </c>
      <c r="ED50">
        <v>108439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61944</v>
      </c>
      <c r="EL50">
        <v>9</v>
      </c>
      <c r="EM50">
        <v>51</v>
      </c>
      <c r="EN50">
        <v>1</v>
      </c>
      <c r="EO50">
        <v>317</v>
      </c>
      <c r="EP50">
        <v>61565</v>
      </c>
      <c r="EQ50">
        <v>0</v>
      </c>
      <c r="ER50">
        <v>0</v>
      </c>
      <c r="ES50">
        <v>0</v>
      </c>
      <c r="ET50">
        <v>9135</v>
      </c>
      <c r="EU50">
        <v>0</v>
      </c>
      <c r="EV50">
        <v>0</v>
      </c>
      <c r="EW50">
        <v>0</v>
      </c>
    </row>
    <row r="51" spans="1:153" ht="18" x14ac:dyDescent="0.2">
      <c r="A51" t="s">
        <v>153</v>
      </c>
      <c r="B51" t="s">
        <v>197</v>
      </c>
      <c r="C51" t="s">
        <v>214</v>
      </c>
      <c r="D51" t="s">
        <v>232</v>
      </c>
      <c r="E51" t="s">
        <v>245</v>
      </c>
      <c r="G51">
        <v>230</v>
      </c>
      <c r="I51" s="2">
        <v>89</v>
      </c>
      <c r="K51">
        <v>5372</v>
      </c>
      <c r="M51">
        <v>6669</v>
      </c>
      <c r="N51">
        <v>9336</v>
      </c>
      <c r="O51">
        <v>46</v>
      </c>
      <c r="P51">
        <v>448</v>
      </c>
      <c r="Q51">
        <v>14335</v>
      </c>
      <c r="R51">
        <v>17</v>
      </c>
      <c r="S51">
        <v>28</v>
      </c>
      <c r="T51">
        <v>46</v>
      </c>
      <c r="U51">
        <v>1</v>
      </c>
      <c r="V51">
        <v>66</v>
      </c>
      <c r="W51">
        <v>68</v>
      </c>
      <c r="X51">
        <v>38</v>
      </c>
      <c r="Y51">
        <v>268</v>
      </c>
      <c r="Z51">
        <v>306</v>
      </c>
      <c r="AA51">
        <v>1</v>
      </c>
      <c r="AB51">
        <v>6455</v>
      </c>
      <c r="AC51">
        <v>6457</v>
      </c>
      <c r="AD51">
        <v>37</v>
      </c>
      <c r="AE51">
        <v>55</v>
      </c>
      <c r="AF51">
        <v>92</v>
      </c>
      <c r="AG51">
        <v>22</v>
      </c>
      <c r="AH51">
        <v>483</v>
      </c>
      <c r="AI51">
        <v>10174</v>
      </c>
      <c r="AJ51">
        <v>48</v>
      </c>
      <c r="AK51">
        <v>5570</v>
      </c>
      <c r="AL51">
        <v>22589</v>
      </c>
      <c r="AM51">
        <v>63</v>
      </c>
      <c r="AN51">
        <v>859</v>
      </c>
      <c r="AO51">
        <v>981</v>
      </c>
      <c r="AP51">
        <v>14</v>
      </c>
      <c r="AQ51">
        <v>5223</v>
      </c>
      <c r="AR51">
        <v>5272</v>
      </c>
      <c r="AS51">
        <v>0</v>
      </c>
      <c r="AT51">
        <v>26</v>
      </c>
      <c r="AU51">
        <v>26</v>
      </c>
      <c r="AV51">
        <v>215</v>
      </c>
      <c r="AW51">
        <v>703</v>
      </c>
      <c r="AX51">
        <v>4854</v>
      </c>
      <c r="AY51">
        <v>197</v>
      </c>
      <c r="AZ51">
        <v>7136</v>
      </c>
      <c r="BA51">
        <v>12878</v>
      </c>
      <c r="BB51">
        <v>99</v>
      </c>
      <c r="BC51">
        <v>14857</v>
      </c>
      <c r="BD51">
        <v>21494</v>
      </c>
      <c r="BE51">
        <v>207</v>
      </c>
      <c r="BF51">
        <v>3026</v>
      </c>
      <c r="BG51">
        <v>8455</v>
      </c>
      <c r="BH51">
        <v>8</v>
      </c>
      <c r="BI51">
        <v>51</v>
      </c>
      <c r="BJ51">
        <v>59</v>
      </c>
      <c r="BK51">
        <v>21</v>
      </c>
      <c r="BL51">
        <v>4208</v>
      </c>
      <c r="BM51">
        <v>4231</v>
      </c>
      <c r="BN51">
        <v>0</v>
      </c>
      <c r="BO51">
        <v>19</v>
      </c>
      <c r="BP51">
        <v>109</v>
      </c>
      <c r="BQ51">
        <v>6</v>
      </c>
      <c r="BR51">
        <v>276</v>
      </c>
      <c r="BS51">
        <v>7375</v>
      </c>
      <c r="BT51">
        <v>56</v>
      </c>
      <c r="BU51">
        <v>38691</v>
      </c>
      <c r="BV51">
        <v>40409</v>
      </c>
      <c r="BW51">
        <v>392</v>
      </c>
      <c r="BX51">
        <v>3717</v>
      </c>
      <c r="BY51">
        <v>4284</v>
      </c>
      <c r="BZ51">
        <v>9</v>
      </c>
      <c r="CA51">
        <v>776</v>
      </c>
      <c r="CB51">
        <v>785</v>
      </c>
      <c r="CC51">
        <v>10</v>
      </c>
      <c r="CD51">
        <v>3323</v>
      </c>
      <c r="CE51">
        <v>13937</v>
      </c>
      <c r="CF51">
        <v>122</v>
      </c>
      <c r="CG51">
        <v>17402</v>
      </c>
      <c r="CH51">
        <v>33529</v>
      </c>
      <c r="CI51">
        <v>47</v>
      </c>
      <c r="CJ51">
        <v>930</v>
      </c>
      <c r="CK51">
        <v>8222</v>
      </c>
      <c r="CL51">
        <v>15709</v>
      </c>
      <c r="CM51">
        <v>12899</v>
      </c>
      <c r="CN51">
        <v>1577</v>
      </c>
      <c r="CO51">
        <v>7147</v>
      </c>
      <c r="CP51">
        <v>12590</v>
      </c>
      <c r="CQ51">
        <v>125</v>
      </c>
      <c r="CR51">
        <v>6302</v>
      </c>
      <c r="CS51">
        <v>2137</v>
      </c>
      <c r="CT51">
        <v>517</v>
      </c>
      <c r="CU51">
        <v>1926</v>
      </c>
      <c r="CV51">
        <v>5966</v>
      </c>
      <c r="CW51">
        <v>574</v>
      </c>
      <c r="CX51">
        <v>2935</v>
      </c>
      <c r="CY51">
        <v>559</v>
      </c>
      <c r="CZ51">
        <v>226</v>
      </c>
      <c r="DA51">
        <v>61663</v>
      </c>
      <c r="DB51">
        <v>96527</v>
      </c>
      <c r="DC51">
        <v>115</v>
      </c>
      <c r="DD51">
        <v>18456</v>
      </c>
      <c r="DE51">
        <v>42806</v>
      </c>
      <c r="DF51">
        <v>9</v>
      </c>
      <c r="DG51">
        <v>822</v>
      </c>
      <c r="DH51">
        <v>920</v>
      </c>
      <c r="DI51">
        <v>268</v>
      </c>
      <c r="DJ51">
        <v>491</v>
      </c>
      <c r="DK51">
        <v>555</v>
      </c>
      <c r="DL51">
        <v>1313</v>
      </c>
      <c r="DM51">
        <v>45966</v>
      </c>
      <c r="DN51">
        <v>1370</v>
      </c>
      <c r="DO51">
        <v>1615</v>
      </c>
      <c r="DP51">
        <v>1399</v>
      </c>
      <c r="DQ51">
        <v>5086</v>
      </c>
      <c r="DR51">
        <v>36495</v>
      </c>
      <c r="DS51">
        <v>95478</v>
      </c>
      <c r="DT51">
        <v>11006</v>
      </c>
      <c r="DU51">
        <v>364</v>
      </c>
      <c r="DV51">
        <v>788</v>
      </c>
      <c r="DW51">
        <v>805</v>
      </c>
      <c r="DX51">
        <v>1957</v>
      </c>
      <c r="DY51">
        <v>121395</v>
      </c>
      <c r="DZ51">
        <v>2354</v>
      </c>
      <c r="EA51">
        <v>3108</v>
      </c>
      <c r="EB51">
        <v>3785</v>
      </c>
      <c r="EC51">
        <v>7208</v>
      </c>
      <c r="ED51">
        <v>104939</v>
      </c>
      <c r="EE51">
        <v>233494</v>
      </c>
      <c r="EF51">
        <v>338</v>
      </c>
      <c r="EG51">
        <v>96</v>
      </c>
      <c r="EH51">
        <v>297</v>
      </c>
      <c r="EI51">
        <v>250</v>
      </c>
      <c r="EJ51">
        <v>643</v>
      </c>
      <c r="EK51">
        <v>75429</v>
      </c>
      <c r="EL51">
        <v>984</v>
      </c>
      <c r="EM51">
        <v>1493</v>
      </c>
      <c r="EN51">
        <v>2386</v>
      </c>
      <c r="EO51">
        <v>2122</v>
      </c>
      <c r="EP51">
        <v>68444</v>
      </c>
      <c r="EQ51">
        <v>138016</v>
      </c>
      <c r="ER51">
        <v>10035</v>
      </c>
      <c r="ES51">
        <v>487</v>
      </c>
      <c r="ET51">
        <v>6073</v>
      </c>
      <c r="EU51">
        <v>15695</v>
      </c>
      <c r="EV51">
        <v>21315</v>
      </c>
      <c r="EW51">
        <v>28609</v>
      </c>
    </row>
    <row r="52" spans="1:153" ht="18" x14ac:dyDescent="0.2">
      <c r="A52" t="s">
        <v>154</v>
      </c>
      <c r="B52" t="s">
        <v>164</v>
      </c>
      <c r="C52" t="s">
        <v>214</v>
      </c>
      <c r="D52" t="s">
        <v>232</v>
      </c>
      <c r="E52" t="s">
        <v>245</v>
      </c>
      <c r="G52">
        <v>0</v>
      </c>
      <c r="I52" s="2">
        <v>0</v>
      </c>
      <c r="K52">
        <v>4</v>
      </c>
      <c r="M52">
        <v>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399</v>
      </c>
      <c r="BD52">
        <v>0</v>
      </c>
      <c r="BE52">
        <v>0</v>
      </c>
      <c r="BF52">
        <v>587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14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70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52460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470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113566</v>
      </c>
      <c r="DN52">
        <v>0</v>
      </c>
      <c r="DO52">
        <v>41</v>
      </c>
      <c r="DP52">
        <v>0</v>
      </c>
      <c r="DQ52">
        <v>628</v>
      </c>
      <c r="DR52">
        <v>112896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113569</v>
      </c>
      <c r="DZ52">
        <v>0</v>
      </c>
      <c r="EA52">
        <v>41</v>
      </c>
      <c r="EB52">
        <v>0</v>
      </c>
      <c r="EC52">
        <v>632</v>
      </c>
      <c r="ED52">
        <v>112896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4</v>
      </c>
      <c r="EL52">
        <v>0</v>
      </c>
      <c r="EM52">
        <v>0</v>
      </c>
      <c r="EN52">
        <v>0</v>
      </c>
      <c r="EO52">
        <v>4</v>
      </c>
      <c r="EP52">
        <v>0</v>
      </c>
      <c r="EQ52">
        <v>0</v>
      </c>
      <c r="ER52">
        <v>0</v>
      </c>
      <c r="ES52">
        <v>0</v>
      </c>
      <c r="ET52">
        <v>112509</v>
      </c>
      <c r="EU52">
        <v>0</v>
      </c>
      <c r="EV52">
        <v>0</v>
      </c>
      <c r="EW52">
        <v>0</v>
      </c>
    </row>
    <row r="53" spans="1:153" ht="18" x14ac:dyDescent="0.2">
      <c r="A53" t="s">
        <v>156</v>
      </c>
      <c r="B53" t="s">
        <v>166</v>
      </c>
      <c r="C53" t="s">
        <v>214</v>
      </c>
      <c r="D53" t="s">
        <v>232</v>
      </c>
      <c r="E53" t="s">
        <v>245</v>
      </c>
      <c r="G53">
        <v>2143</v>
      </c>
      <c r="I53" s="2">
        <v>1769</v>
      </c>
      <c r="K53">
        <v>56314</v>
      </c>
      <c r="M53">
        <v>57214</v>
      </c>
      <c r="N53">
        <v>58457</v>
      </c>
      <c r="O53">
        <v>266</v>
      </c>
      <c r="P53">
        <v>37259</v>
      </c>
      <c r="Q53">
        <v>37525</v>
      </c>
      <c r="R53">
        <v>383</v>
      </c>
      <c r="S53">
        <v>2828</v>
      </c>
      <c r="T53">
        <v>3212</v>
      </c>
      <c r="U53">
        <v>289</v>
      </c>
      <c r="V53">
        <v>6744</v>
      </c>
      <c r="W53">
        <v>7033</v>
      </c>
      <c r="X53">
        <v>722</v>
      </c>
      <c r="Y53">
        <v>5657</v>
      </c>
      <c r="Z53">
        <v>6380</v>
      </c>
      <c r="AA53">
        <v>662</v>
      </c>
      <c r="AB53">
        <v>13642</v>
      </c>
      <c r="AC53">
        <v>14305</v>
      </c>
      <c r="AD53">
        <v>553</v>
      </c>
      <c r="AE53">
        <v>3165</v>
      </c>
      <c r="AF53">
        <v>3718</v>
      </c>
      <c r="AG53">
        <v>102</v>
      </c>
      <c r="AH53">
        <v>105177</v>
      </c>
      <c r="AI53">
        <v>105279</v>
      </c>
      <c r="AJ53">
        <v>835</v>
      </c>
      <c r="AK53">
        <v>40641</v>
      </c>
      <c r="AL53">
        <v>41476</v>
      </c>
      <c r="AM53">
        <v>1418</v>
      </c>
      <c r="AN53">
        <v>24453</v>
      </c>
      <c r="AO53">
        <v>25871</v>
      </c>
      <c r="AP53">
        <v>822</v>
      </c>
      <c r="AQ53">
        <v>15668</v>
      </c>
      <c r="AR53">
        <v>16489</v>
      </c>
      <c r="AS53">
        <v>217</v>
      </c>
      <c r="AT53">
        <v>2046</v>
      </c>
      <c r="AU53">
        <v>2263</v>
      </c>
      <c r="AV53">
        <v>4357</v>
      </c>
      <c r="AW53">
        <v>16293</v>
      </c>
      <c r="AX53">
        <v>20651</v>
      </c>
      <c r="AY53">
        <v>2850</v>
      </c>
      <c r="AZ53">
        <v>46238</v>
      </c>
      <c r="BA53">
        <v>49088</v>
      </c>
      <c r="BB53">
        <v>1192</v>
      </c>
      <c r="BC53">
        <v>47802</v>
      </c>
      <c r="BD53">
        <v>48994</v>
      </c>
      <c r="BE53">
        <v>1142</v>
      </c>
      <c r="BF53">
        <v>26736</v>
      </c>
      <c r="BG53">
        <v>27879</v>
      </c>
      <c r="BH53">
        <v>573</v>
      </c>
      <c r="BI53">
        <v>5106</v>
      </c>
      <c r="BJ53">
        <v>5679</v>
      </c>
      <c r="BK53">
        <v>862</v>
      </c>
      <c r="BL53">
        <v>18435</v>
      </c>
      <c r="BM53">
        <v>19297</v>
      </c>
      <c r="BN53">
        <v>218</v>
      </c>
      <c r="BO53">
        <v>14410</v>
      </c>
      <c r="BP53">
        <v>14628</v>
      </c>
      <c r="BQ53">
        <v>123</v>
      </c>
      <c r="BR53">
        <v>62666</v>
      </c>
      <c r="BS53">
        <v>62789</v>
      </c>
      <c r="BT53">
        <v>586</v>
      </c>
      <c r="BU53">
        <v>37362</v>
      </c>
      <c r="BV53">
        <v>37947</v>
      </c>
      <c r="BW53">
        <v>1194</v>
      </c>
      <c r="BX53">
        <v>107899</v>
      </c>
      <c r="BY53">
        <v>109093</v>
      </c>
      <c r="BZ53">
        <v>244</v>
      </c>
      <c r="CA53">
        <v>12461</v>
      </c>
      <c r="CB53">
        <v>12704</v>
      </c>
      <c r="CC53">
        <v>165</v>
      </c>
      <c r="CD53">
        <v>17486</v>
      </c>
      <c r="CE53">
        <v>17651</v>
      </c>
      <c r="CF53">
        <v>569</v>
      </c>
      <c r="CG53">
        <v>58782</v>
      </c>
      <c r="CH53">
        <v>59350</v>
      </c>
      <c r="CI53">
        <v>282</v>
      </c>
      <c r="CJ53">
        <v>35236</v>
      </c>
      <c r="CK53">
        <v>35518</v>
      </c>
      <c r="CL53">
        <v>187408</v>
      </c>
      <c r="CM53">
        <v>225575</v>
      </c>
      <c r="CN53">
        <v>34465</v>
      </c>
      <c r="CO53">
        <v>163399</v>
      </c>
      <c r="CP53">
        <v>180432</v>
      </c>
      <c r="CQ53">
        <v>1958</v>
      </c>
      <c r="CR53">
        <v>34166</v>
      </c>
      <c r="CS53">
        <v>21064</v>
      </c>
      <c r="CT53">
        <v>71087</v>
      </c>
      <c r="CU53">
        <v>21642</v>
      </c>
      <c r="CV53">
        <v>40624</v>
      </c>
      <c r="CW53">
        <v>10912</v>
      </c>
      <c r="CX53">
        <v>6914</v>
      </c>
      <c r="CY53">
        <v>52383</v>
      </c>
      <c r="CZ53">
        <v>1989</v>
      </c>
      <c r="DA53">
        <v>136784</v>
      </c>
      <c r="DB53">
        <v>138774</v>
      </c>
      <c r="DC53">
        <v>1481</v>
      </c>
      <c r="DD53">
        <v>127954</v>
      </c>
      <c r="DE53">
        <v>129435</v>
      </c>
      <c r="DF53">
        <v>678</v>
      </c>
      <c r="DG53">
        <v>28917</v>
      </c>
      <c r="DH53">
        <v>29595</v>
      </c>
      <c r="DI53">
        <v>3817</v>
      </c>
      <c r="DJ53">
        <v>6019</v>
      </c>
      <c r="DK53">
        <v>5558</v>
      </c>
      <c r="DL53">
        <v>15395</v>
      </c>
      <c r="DM53">
        <v>444336</v>
      </c>
      <c r="DN53">
        <v>5481</v>
      </c>
      <c r="DO53">
        <v>11647</v>
      </c>
      <c r="DP53">
        <v>18632</v>
      </c>
      <c r="DQ53">
        <v>63081</v>
      </c>
      <c r="DR53">
        <v>345495</v>
      </c>
      <c r="DS53">
        <v>459731</v>
      </c>
      <c r="DT53">
        <v>149917</v>
      </c>
      <c r="DU53">
        <v>5542</v>
      </c>
      <c r="DV53">
        <v>9007</v>
      </c>
      <c r="DW53">
        <v>8651</v>
      </c>
      <c r="DX53">
        <v>23200</v>
      </c>
      <c r="DY53">
        <v>830704</v>
      </c>
      <c r="DZ53">
        <v>9736</v>
      </c>
      <c r="EA53">
        <v>21251</v>
      </c>
      <c r="EB53">
        <v>36001</v>
      </c>
      <c r="EC53">
        <v>102912</v>
      </c>
      <c r="ED53">
        <v>660804</v>
      </c>
      <c r="EE53">
        <v>853904</v>
      </c>
      <c r="EF53">
        <v>50429</v>
      </c>
      <c r="EG53">
        <v>1724</v>
      </c>
      <c r="EH53">
        <v>2988</v>
      </c>
      <c r="EI53">
        <v>3093</v>
      </c>
      <c r="EJ53">
        <v>7805</v>
      </c>
      <c r="EK53">
        <v>386368</v>
      </c>
      <c r="EL53">
        <v>4255</v>
      </c>
      <c r="EM53">
        <v>9604</v>
      </c>
      <c r="EN53">
        <v>17369</v>
      </c>
      <c r="EO53">
        <v>39831</v>
      </c>
      <c r="EP53">
        <v>315309</v>
      </c>
      <c r="EQ53">
        <v>394173</v>
      </c>
      <c r="ER53">
        <v>110832</v>
      </c>
      <c r="ES53">
        <v>1907</v>
      </c>
      <c r="ET53">
        <v>153332</v>
      </c>
      <c r="EU53">
        <v>155238</v>
      </c>
      <c r="EV53">
        <v>378296</v>
      </c>
      <c r="EW53">
        <v>412983</v>
      </c>
    </row>
    <row r="54" spans="1:153" ht="18" x14ac:dyDescent="0.2">
      <c r="A54" t="s">
        <v>158</v>
      </c>
      <c r="B54" t="s">
        <v>168</v>
      </c>
      <c r="C54" t="s">
        <v>214</v>
      </c>
      <c r="D54" t="s">
        <v>232</v>
      </c>
      <c r="E54" t="s">
        <v>245</v>
      </c>
      <c r="G54">
        <v>103</v>
      </c>
      <c r="I54" s="2">
        <v>37</v>
      </c>
      <c r="K54">
        <v>1437</v>
      </c>
      <c r="M54">
        <v>1317</v>
      </c>
      <c r="N54">
        <v>1297</v>
      </c>
      <c r="O54">
        <v>8</v>
      </c>
      <c r="P54">
        <v>3813</v>
      </c>
      <c r="Q54">
        <v>3893</v>
      </c>
      <c r="R54">
        <v>16</v>
      </c>
      <c r="S54">
        <v>-524</v>
      </c>
      <c r="T54">
        <v>-509</v>
      </c>
      <c r="U54">
        <v>3</v>
      </c>
      <c r="V54">
        <v>78</v>
      </c>
      <c r="W54">
        <v>108</v>
      </c>
      <c r="X54">
        <v>14</v>
      </c>
      <c r="Y54">
        <v>551</v>
      </c>
      <c r="Z54">
        <v>561</v>
      </c>
      <c r="AA54">
        <v>21</v>
      </c>
      <c r="AB54">
        <v>88</v>
      </c>
      <c r="AC54">
        <v>130</v>
      </c>
      <c r="AD54">
        <v>16</v>
      </c>
      <c r="AE54">
        <v>38</v>
      </c>
      <c r="AF54">
        <v>52</v>
      </c>
      <c r="AG54">
        <v>17</v>
      </c>
      <c r="AH54">
        <v>1933</v>
      </c>
      <c r="AI54">
        <v>2052</v>
      </c>
      <c r="AJ54">
        <v>35</v>
      </c>
      <c r="AK54">
        <v>-2939</v>
      </c>
      <c r="AL54">
        <v>-2074</v>
      </c>
      <c r="AM54">
        <v>35</v>
      </c>
      <c r="AN54">
        <v>662</v>
      </c>
      <c r="AO54">
        <v>750</v>
      </c>
      <c r="AP54">
        <v>11</v>
      </c>
      <c r="AQ54">
        <v>1393</v>
      </c>
      <c r="AR54">
        <v>1514</v>
      </c>
      <c r="AS54">
        <v>2</v>
      </c>
      <c r="AT54">
        <v>145</v>
      </c>
      <c r="AU54">
        <v>185</v>
      </c>
      <c r="AV54">
        <v>116</v>
      </c>
      <c r="AW54">
        <v>493</v>
      </c>
      <c r="AX54">
        <v>755</v>
      </c>
      <c r="AY54">
        <v>105</v>
      </c>
      <c r="AZ54">
        <v>3158</v>
      </c>
      <c r="BA54">
        <v>3467</v>
      </c>
      <c r="BB54">
        <v>52</v>
      </c>
      <c r="BC54">
        <v>5793</v>
      </c>
      <c r="BD54">
        <v>5011</v>
      </c>
      <c r="BE54">
        <v>6</v>
      </c>
      <c r="BF54">
        <v>193</v>
      </c>
      <c r="BG54">
        <v>185</v>
      </c>
      <c r="BH54">
        <v>0</v>
      </c>
      <c r="BI54">
        <v>233</v>
      </c>
      <c r="BJ54">
        <v>244</v>
      </c>
      <c r="BK54">
        <v>85</v>
      </c>
      <c r="BL54">
        <v>2037</v>
      </c>
      <c r="BM54">
        <v>2696</v>
      </c>
      <c r="BN54">
        <v>26</v>
      </c>
      <c r="BO54">
        <v>97</v>
      </c>
      <c r="BP54">
        <v>374</v>
      </c>
      <c r="BQ54">
        <v>4</v>
      </c>
      <c r="BR54">
        <v>7786</v>
      </c>
      <c r="BS54">
        <v>9008</v>
      </c>
      <c r="BT54">
        <v>4</v>
      </c>
      <c r="BU54">
        <v>1191</v>
      </c>
      <c r="BV54">
        <v>1423</v>
      </c>
      <c r="BW54">
        <v>33</v>
      </c>
      <c r="BX54">
        <v>1161</v>
      </c>
      <c r="BY54">
        <v>1470</v>
      </c>
      <c r="BZ54">
        <v>-43</v>
      </c>
      <c r="CA54">
        <v>126</v>
      </c>
      <c r="CB54">
        <v>124</v>
      </c>
      <c r="CC54">
        <v>1</v>
      </c>
      <c r="CD54">
        <v>2754</v>
      </c>
      <c r="CE54">
        <v>2743</v>
      </c>
      <c r="CF54">
        <v>5</v>
      </c>
      <c r="CG54">
        <v>16772</v>
      </c>
      <c r="CH54">
        <v>16821</v>
      </c>
      <c r="CI54">
        <v>6</v>
      </c>
      <c r="CJ54">
        <v>869</v>
      </c>
      <c r="CK54">
        <v>1745</v>
      </c>
      <c r="CL54">
        <v>3087</v>
      </c>
      <c r="CM54">
        <v>6151</v>
      </c>
      <c r="CN54">
        <v>664</v>
      </c>
      <c r="CO54">
        <v>3864</v>
      </c>
      <c r="CP54">
        <v>2742</v>
      </c>
      <c r="CQ54">
        <v>300</v>
      </c>
      <c r="CR54">
        <v>7902</v>
      </c>
      <c r="CS54">
        <v>2378</v>
      </c>
      <c r="CT54">
        <v>4847</v>
      </c>
      <c r="CU54">
        <v>9142</v>
      </c>
      <c r="CV54">
        <v>900</v>
      </c>
      <c r="CW54">
        <v>513</v>
      </c>
      <c r="CX54">
        <v>1061</v>
      </c>
      <c r="CY54">
        <v>1690</v>
      </c>
      <c r="CZ54">
        <v>44</v>
      </c>
      <c r="DA54">
        <v>15024</v>
      </c>
      <c r="DB54">
        <v>16171</v>
      </c>
      <c r="DC54">
        <v>56</v>
      </c>
      <c r="DD54">
        <v>16332</v>
      </c>
      <c r="DE54">
        <v>16762</v>
      </c>
      <c r="DF54">
        <v>-14</v>
      </c>
      <c r="DG54">
        <v>368</v>
      </c>
      <c r="DH54">
        <v>683</v>
      </c>
      <c r="DI54">
        <v>132</v>
      </c>
      <c r="DJ54">
        <v>242</v>
      </c>
      <c r="DK54">
        <v>37</v>
      </c>
      <c r="DL54">
        <v>410</v>
      </c>
      <c r="DM54">
        <v>26859</v>
      </c>
      <c r="DN54">
        <v>194</v>
      </c>
      <c r="DO54">
        <v>174</v>
      </c>
      <c r="DP54">
        <v>152</v>
      </c>
      <c r="DQ54">
        <v>2317</v>
      </c>
      <c r="DR54">
        <v>24022</v>
      </c>
      <c r="DS54">
        <v>30148</v>
      </c>
      <c r="DT54">
        <v>24569</v>
      </c>
      <c r="DU54">
        <v>236</v>
      </c>
      <c r="DV54">
        <v>323</v>
      </c>
      <c r="DW54">
        <v>113</v>
      </c>
      <c r="DX54">
        <v>672</v>
      </c>
      <c r="DY54">
        <v>49408</v>
      </c>
      <c r="DZ54">
        <v>303</v>
      </c>
      <c r="EA54">
        <v>373</v>
      </c>
      <c r="EB54">
        <v>558</v>
      </c>
      <c r="EC54">
        <v>3520</v>
      </c>
      <c r="ED54">
        <v>44653</v>
      </c>
      <c r="EE54">
        <v>54092</v>
      </c>
      <c r="EF54">
        <v>3213</v>
      </c>
      <c r="EG54">
        <v>104</v>
      </c>
      <c r="EH54">
        <v>81</v>
      </c>
      <c r="EI54">
        <v>76</v>
      </c>
      <c r="EJ54">
        <v>262</v>
      </c>
      <c r="EK54">
        <v>22548</v>
      </c>
      <c r="EL54">
        <v>110</v>
      </c>
      <c r="EM54">
        <v>199</v>
      </c>
      <c r="EN54">
        <v>406</v>
      </c>
      <c r="EO54">
        <v>1203</v>
      </c>
      <c r="EP54">
        <v>20631</v>
      </c>
      <c r="EQ54">
        <v>23944</v>
      </c>
      <c r="ER54">
        <v>4165</v>
      </c>
      <c r="ES54">
        <v>32</v>
      </c>
      <c r="ET54">
        <v>2102</v>
      </c>
      <c r="EU54">
        <v>3281</v>
      </c>
      <c r="EV54">
        <v>7271</v>
      </c>
      <c r="EW54">
        <v>9238</v>
      </c>
    </row>
    <row r="55" spans="1:153" ht="18" x14ac:dyDescent="0.2">
      <c r="A55" t="s">
        <v>160</v>
      </c>
      <c r="B55" t="s">
        <v>170</v>
      </c>
      <c r="C55" t="s">
        <v>214</v>
      </c>
      <c r="D55" t="s">
        <v>232</v>
      </c>
      <c r="E55" t="s">
        <v>245</v>
      </c>
      <c r="G55">
        <v>0</v>
      </c>
      <c r="I55" s="2">
        <v>0</v>
      </c>
      <c r="K55">
        <v>-243</v>
      </c>
      <c r="M55">
        <v>-232</v>
      </c>
      <c r="N55">
        <v>0</v>
      </c>
      <c r="O55">
        <v>0</v>
      </c>
      <c r="P55">
        <v>71</v>
      </c>
      <c r="Q55">
        <v>0</v>
      </c>
      <c r="R55">
        <v>0</v>
      </c>
      <c r="S55">
        <v>0</v>
      </c>
      <c r="T55">
        <v>0</v>
      </c>
      <c r="U55">
        <v>0</v>
      </c>
      <c r="V55">
        <v>27</v>
      </c>
      <c r="W55">
        <v>0</v>
      </c>
      <c r="X55">
        <v>0</v>
      </c>
      <c r="Y55">
        <v>-3</v>
      </c>
      <c r="Z55">
        <v>0</v>
      </c>
      <c r="AA55">
        <v>0</v>
      </c>
      <c r="AB55">
        <v>21</v>
      </c>
      <c r="AC55">
        <v>0</v>
      </c>
      <c r="AD55">
        <v>0</v>
      </c>
      <c r="AE55">
        <v>-1</v>
      </c>
      <c r="AF55">
        <v>0</v>
      </c>
      <c r="AG55">
        <v>0</v>
      </c>
      <c r="AH55">
        <v>102</v>
      </c>
      <c r="AI55">
        <v>0</v>
      </c>
      <c r="AJ55">
        <v>0</v>
      </c>
      <c r="AK55">
        <v>831</v>
      </c>
      <c r="AL55">
        <v>0</v>
      </c>
      <c r="AM55">
        <v>0</v>
      </c>
      <c r="AN55">
        <v>53</v>
      </c>
      <c r="AO55">
        <v>0</v>
      </c>
      <c r="AP55">
        <v>0</v>
      </c>
      <c r="AQ55">
        <v>110</v>
      </c>
      <c r="AR55">
        <v>0</v>
      </c>
      <c r="AS55">
        <v>0</v>
      </c>
      <c r="AT55">
        <v>37</v>
      </c>
      <c r="AU55">
        <v>0</v>
      </c>
      <c r="AV55">
        <v>0</v>
      </c>
      <c r="AW55">
        <v>147</v>
      </c>
      <c r="AX55">
        <v>0</v>
      </c>
      <c r="AY55">
        <v>0</v>
      </c>
      <c r="AZ55">
        <v>203</v>
      </c>
      <c r="BA55">
        <v>0</v>
      </c>
      <c r="BB55">
        <v>0</v>
      </c>
      <c r="BC55">
        <v>-834</v>
      </c>
      <c r="BD55">
        <v>0</v>
      </c>
      <c r="BE55">
        <v>0</v>
      </c>
      <c r="BF55">
        <v>-13</v>
      </c>
      <c r="BG55">
        <v>0</v>
      </c>
      <c r="BH55">
        <v>0</v>
      </c>
      <c r="BI55">
        <v>11</v>
      </c>
      <c r="BJ55">
        <v>0</v>
      </c>
      <c r="BK55">
        <v>0</v>
      </c>
      <c r="BL55">
        <v>575</v>
      </c>
      <c r="BM55">
        <v>0</v>
      </c>
      <c r="BN55">
        <v>0</v>
      </c>
      <c r="BO55">
        <v>251</v>
      </c>
      <c r="BP55">
        <v>0</v>
      </c>
      <c r="BQ55">
        <v>0</v>
      </c>
      <c r="BR55">
        <v>1219</v>
      </c>
      <c r="BS55">
        <v>0</v>
      </c>
      <c r="BT55">
        <v>0</v>
      </c>
      <c r="BU55">
        <v>228</v>
      </c>
      <c r="BV55">
        <v>0</v>
      </c>
      <c r="BW55">
        <v>0</v>
      </c>
      <c r="BX55">
        <v>276</v>
      </c>
      <c r="BY55">
        <v>0</v>
      </c>
      <c r="BZ55">
        <v>0</v>
      </c>
      <c r="CA55">
        <v>41</v>
      </c>
      <c r="CB55">
        <v>0</v>
      </c>
      <c r="CC55">
        <v>0</v>
      </c>
      <c r="CD55">
        <v>-12</v>
      </c>
      <c r="CE55">
        <v>0</v>
      </c>
      <c r="CF55">
        <v>0</v>
      </c>
      <c r="CG55">
        <v>45</v>
      </c>
      <c r="CH55">
        <v>0</v>
      </c>
      <c r="CI55">
        <v>0</v>
      </c>
      <c r="CJ55">
        <v>870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1104</v>
      </c>
      <c r="DB55">
        <v>0</v>
      </c>
      <c r="DC55">
        <v>0</v>
      </c>
      <c r="DD55">
        <v>374</v>
      </c>
      <c r="DE55">
        <v>0</v>
      </c>
      <c r="DF55">
        <v>0</v>
      </c>
      <c r="DG55">
        <v>329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2879</v>
      </c>
      <c r="DN55">
        <v>30</v>
      </c>
      <c r="DO55">
        <v>7</v>
      </c>
      <c r="DP55">
        <v>68</v>
      </c>
      <c r="DQ55">
        <v>218</v>
      </c>
      <c r="DR55">
        <v>2557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4013</v>
      </c>
      <c r="DZ55">
        <v>45</v>
      </c>
      <c r="EA55">
        <v>21</v>
      </c>
      <c r="EB55">
        <v>103</v>
      </c>
      <c r="EC55">
        <v>404</v>
      </c>
      <c r="ED55">
        <v>3439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1133</v>
      </c>
      <c r="EL55">
        <v>16</v>
      </c>
      <c r="EM55">
        <v>14</v>
      </c>
      <c r="EN55">
        <v>35</v>
      </c>
      <c r="EO55">
        <v>186</v>
      </c>
      <c r="EP55">
        <v>882</v>
      </c>
      <c r="EQ55">
        <v>0</v>
      </c>
      <c r="ER55">
        <v>0</v>
      </c>
      <c r="ES55">
        <v>0</v>
      </c>
      <c r="ET55">
        <v>1147</v>
      </c>
      <c r="EU55">
        <v>0</v>
      </c>
      <c r="EV55">
        <v>0</v>
      </c>
      <c r="EW55">
        <v>0</v>
      </c>
    </row>
    <row r="56" spans="1:153" ht="18" x14ac:dyDescent="0.2">
      <c r="A56" t="s">
        <v>161</v>
      </c>
      <c r="B56" t="s">
        <v>173</v>
      </c>
      <c r="C56" t="s">
        <v>214</v>
      </c>
      <c r="D56" t="s">
        <v>232</v>
      </c>
      <c r="E56" t="s">
        <v>245</v>
      </c>
      <c r="G56">
        <v>362</v>
      </c>
      <c r="I56" s="2">
        <v>305</v>
      </c>
      <c r="K56">
        <v>2626</v>
      </c>
      <c r="M56">
        <v>1863</v>
      </c>
      <c r="N56">
        <v>2988</v>
      </c>
      <c r="O56">
        <v>258</v>
      </c>
      <c r="P56">
        <v>183</v>
      </c>
      <c r="Q56">
        <v>441</v>
      </c>
      <c r="R56">
        <v>78</v>
      </c>
      <c r="S56">
        <v>44</v>
      </c>
      <c r="T56">
        <v>122</v>
      </c>
      <c r="U56">
        <v>58</v>
      </c>
      <c r="V56">
        <v>229</v>
      </c>
      <c r="W56">
        <v>287</v>
      </c>
      <c r="X56">
        <v>127</v>
      </c>
      <c r="Y56">
        <v>1044</v>
      </c>
      <c r="Z56">
        <v>1171</v>
      </c>
      <c r="AA56">
        <v>203</v>
      </c>
      <c r="AB56">
        <v>2779</v>
      </c>
      <c r="AC56">
        <v>2981</v>
      </c>
      <c r="AD56">
        <v>135</v>
      </c>
      <c r="AE56">
        <v>234</v>
      </c>
      <c r="AF56">
        <v>368</v>
      </c>
      <c r="AG56">
        <v>24</v>
      </c>
      <c r="AH56">
        <v>791</v>
      </c>
      <c r="AI56">
        <v>814</v>
      </c>
      <c r="AJ56">
        <v>341</v>
      </c>
      <c r="AK56">
        <v>1479</v>
      </c>
      <c r="AL56">
        <v>1820</v>
      </c>
      <c r="AM56">
        <v>330</v>
      </c>
      <c r="AN56">
        <v>1051</v>
      </c>
      <c r="AO56">
        <v>1381</v>
      </c>
      <c r="AP56">
        <v>287</v>
      </c>
      <c r="AQ56">
        <v>763</v>
      </c>
      <c r="AR56">
        <v>1050</v>
      </c>
      <c r="AS56">
        <v>36</v>
      </c>
      <c r="AT56">
        <v>1191</v>
      </c>
      <c r="AU56">
        <v>1227</v>
      </c>
      <c r="AV56">
        <v>899</v>
      </c>
      <c r="AW56">
        <v>2827</v>
      </c>
      <c r="AX56">
        <v>3726</v>
      </c>
      <c r="AY56">
        <v>657</v>
      </c>
      <c r="AZ56">
        <v>2600</v>
      </c>
      <c r="BA56">
        <v>3257</v>
      </c>
      <c r="BB56">
        <v>236</v>
      </c>
      <c r="BC56">
        <v>626</v>
      </c>
      <c r="BD56">
        <v>861</v>
      </c>
      <c r="BE56">
        <v>108</v>
      </c>
      <c r="BF56">
        <v>1799</v>
      </c>
      <c r="BG56">
        <v>1906</v>
      </c>
      <c r="BH56">
        <v>73</v>
      </c>
      <c r="BI56">
        <v>326</v>
      </c>
      <c r="BJ56">
        <v>399</v>
      </c>
      <c r="BK56">
        <v>212</v>
      </c>
      <c r="BL56">
        <v>2379</v>
      </c>
      <c r="BM56">
        <v>2591</v>
      </c>
      <c r="BN56">
        <v>222</v>
      </c>
      <c r="BO56">
        <v>618</v>
      </c>
      <c r="BP56">
        <v>840</v>
      </c>
      <c r="BQ56">
        <v>5</v>
      </c>
      <c r="BR56">
        <v>422</v>
      </c>
      <c r="BS56">
        <v>427</v>
      </c>
      <c r="BT56">
        <v>125</v>
      </c>
      <c r="BU56">
        <v>3257</v>
      </c>
      <c r="BV56">
        <v>3382</v>
      </c>
      <c r="BW56">
        <v>37</v>
      </c>
      <c r="BX56">
        <v>1310</v>
      </c>
      <c r="BY56">
        <v>1347</v>
      </c>
      <c r="BZ56">
        <v>67</v>
      </c>
      <c r="CA56">
        <v>259</v>
      </c>
      <c r="CB56">
        <v>326</v>
      </c>
      <c r="CC56">
        <v>17</v>
      </c>
      <c r="CD56">
        <v>809</v>
      </c>
      <c r="CE56">
        <v>826</v>
      </c>
      <c r="CF56">
        <v>35</v>
      </c>
      <c r="CG56">
        <v>8028</v>
      </c>
      <c r="CH56">
        <v>8064</v>
      </c>
      <c r="CI56">
        <v>76</v>
      </c>
      <c r="CJ56">
        <v>640</v>
      </c>
      <c r="CK56">
        <v>715</v>
      </c>
      <c r="CL56">
        <v>7594</v>
      </c>
      <c r="CM56">
        <v>6535</v>
      </c>
      <c r="CN56">
        <v>718</v>
      </c>
      <c r="CO56">
        <v>1133</v>
      </c>
      <c r="CP56">
        <v>16366</v>
      </c>
      <c r="CQ56">
        <v>366</v>
      </c>
      <c r="CR56">
        <v>3080</v>
      </c>
      <c r="CS56">
        <v>670</v>
      </c>
      <c r="CT56">
        <v>2760</v>
      </c>
      <c r="CU56">
        <v>1091</v>
      </c>
      <c r="CV56">
        <v>1952</v>
      </c>
      <c r="CW56">
        <v>856</v>
      </c>
      <c r="CX56">
        <v>1419</v>
      </c>
      <c r="CY56">
        <v>2364</v>
      </c>
      <c r="CZ56">
        <v>501</v>
      </c>
      <c r="DA56">
        <v>12764</v>
      </c>
      <c r="DB56">
        <v>13266</v>
      </c>
      <c r="DC56">
        <v>258</v>
      </c>
      <c r="DD56">
        <v>1857</v>
      </c>
      <c r="DE56">
        <v>2115</v>
      </c>
      <c r="DF56">
        <v>325</v>
      </c>
      <c r="DG56">
        <v>2068</v>
      </c>
      <c r="DH56">
        <v>2393</v>
      </c>
      <c r="DI56">
        <v>736</v>
      </c>
      <c r="DJ56">
        <v>1329</v>
      </c>
      <c r="DK56">
        <v>1067</v>
      </c>
      <c r="DL56">
        <v>3133</v>
      </c>
      <c r="DM56">
        <v>17906</v>
      </c>
      <c r="DN56">
        <v>667</v>
      </c>
      <c r="DO56">
        <v>1270</v>
      </c>
      <c r="DP56">
        <v>4053</v>
      </c>
      <c r="DQ56">
        <v>5766</v>
      </c>
      <c r="DR56">
        <v>6149</v>
      </c>
      <c r="DS56">
        <v>21038</v>
      </c>
      <c r="DT56">
        <v>7967</v>
      </c>
      <c r="DU56">
        <v>1167</v>
      </c>
      <c r="DV56">
        <v>2235</v>
      </c>
      <c r="DW56">
        <v>1679</v>
      </c>
      <c r="DX56">
        <v>5082</v>
      </c>
      <c r="DY56">
        <v>38607</v>
      </c>
      <c r="DZ56">
        <v>1285</v>
      </c>
      <c r="EA56">
        <v>2875</v>
      </c>
      <c r="EB56">
        <v>6018</v>
      </c>
      <c r="EC56">
        <v>7827</v>
      </c>
      <c r="ED56">
        <v>20602</v>
      </c>
      <c r="EE56">
        <v>43688</v>
      </c>
      <c r="EF56">
        <v>2979</v>
      </c>
      <c r="EG56">
        <v>431</v>
      </c>
      <c r="EH56">
        <v>906</v>
      </c>
      <c r="EI56">
        <v>611</v>
      </c>
      <c r="EJ56">
        <v>1949</v>
      </c>
      <c r="EK56">
        <v>20701</v>
      </c>
      <c r="EL56">
        <v>618</v>
      </c>
      <c r="EM56">
        <v>1605</v>
      </c>
      <c r="EN56">
        <v>1965</v>
      </c>
      <c r="EO56">
        <v>2062</v>
      </c>
      <c r="EP56">
        <v>14453</v>
      </c>
      <c r="EQ56">
        <v>22650</v>
      </c>
      <c r="ER56">
        <v>6590</v>
      </c>
      <c r="ES56">
        <v>187</v>
      </c>
      <c r="ET56">
        <v>2242</v>
      </c>
      <c r="EU56">
        <v>2430</v>
      </c>
      <c r="EV56">
        <v>18218</v>
      </c>
      <c r="EW56">
        <v>14130</v>
      </c>
    </row>
    <row r="57" spans="1:153" ht="18" x14ac:dyDescent="0.2">
      <c r="A57" t="s">
        <v>162</v>
      </c>
      <c r="B57" t="s">
        <v>198</v>
      </c>
      <c r="C57" t="s">
        <v>214</v>
      </c>
      <c r="D57" t="s">
        <v>232</v>
      </c>
      <c r="E57" t="s">
        <v>245</v>
      </c>
      <c r="G57">
        <v>0</v>
      </c>
      <c r="I57" s="2">
        <v>0</v>
      </c>
      <c r="K57">
        <v>15134</v>
      </c>
      <c r="M57">
        <v>14898</v>
      </c>
      <c r="N57">
        <v>0</v>
      </c>
      <c r="O57">
        <v>0</v>
      </c>
      <c r="P57">
        <v>11717</v>
      </c>
      <c r="Q57">
        <v>0</v>
      </c>
      <c r="R57">
        <v>0</v>
      </c>
      <c r="S57">
        <v>503</v>
      </c>
      <c r="T57">
        <v>0</v>
      </c>
      <c r="U57">
        <v>0</v>
      </c>
      <c r="V57">
        <v>2775</v>
      </c>
      <c r="W57">
        <v>0</v>
      </c>
      <c r="X57">
        <v>0</v>
      </c>
      <c r="Y57">
        <v>125</v>
      </c>
      <c r="Z57">
        <v>0</v>
      </c>
      <c r="AA57">
        <v>0</v>
      </c>
      <c r="AB57">
        <v>145</v>
      </c>
      <c r="AC57">
        <v>0</v>
      </c>
      <c r="AD57">
        <v>0</v>
      </c>
      <c r="AE57">
        <v>37</v>
      </c>
      <c r="AF57">
        <v>0</v>
      </c>
      <c r="AG57">
        <v>0</v>
      </c>
      <c r="AH57">
        <v>16160</v>
      </c>
      <c r="AI57">
        <v>0</v>
      </c>
      <c r="AJ57">
        <v>0</v>
      </c>
      <c r="AK57">
        <v>9133</v>
      </c>
      <c r="AL57">
        <v>0</v>
      </c>
      <c r="AM57">
        <v>0</v>
      </c>
      <c r="AN57">
        <v>1941</v>
      </c>
      <c r="AO57">
        <v>0</v>
      </c>
      <c r="AP57">
        <v>0</v>
      </c>
      <c r="AQ57">
        <v>1321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428</v>
      </c>
      <c r="AX57">
        <v>0</v>
      </c>
      <c r="AY57">
        <v>0</v>
      </c>
      <c r="AZ57">
        <v>8137</v>
      </c>
      <c r="BA57">
        <v>0</v>
      </c>
      <c r="BB57">
        <v>0</v>
      </c>
      <c r="BC57">
        <v>10987</v>
      </c>
      <c r="BD57">
        <v>0</v>
      </c>
      <c r="BE57">
        <v>0</v>
      </c>
      <c r="BF57">
        <v>3183</v>
      </c>
      <c r="BG57">
        <v>0</v>
      </c>
      <c r="BH57">
        <v>0</v>
      </c>
      <c r="BI57">
        <v>549</v>
      </c>
      <c r="BJ57">
        <v>0</v>
      </c>
      <c r="BK57">
        <v>0</v>
      </c>
      <c r="BL57">
        <v>9078</v>
      </c>
      <c r="BM57">
        <v>0</v>
      </c>
      <c r="BN57">
        <v>0</v>
      </c>
      <c r="BO57">
        <v>995</v>
      </c>
      <c r="BP57">
        <v>0</v>
      </c>
      <c r="BQ57">
        <v>0</v>
      </c>
      <c r="BR57">
        <v>5536</v>
      </c>
      <c r="BS57">
        <v>0</v>
      </c>
      <c r="BT57">
        <v>0</v>
      </c>
      <c r="BU57">
        <v>3374</v>
      </c>
      <c r="BV57">
        <v>0</v>
      </c>
      <c r="BW57">
        <v>0</v>
      </c>
      <c r="BX57">
        <v>3249</v>
      </c>
      <c r="BY57">
        <v>0</v>
      </c>
      <c r="BZ57">
        <v>0</v>
      </c>
      <c r="CA57">
        <v>507</v>
      </c>
      <c r="CB57">
        <v>0</v>
      </c>
      <c r="CC57">
        <v>0</v>
      </c>
      <c r="CD57">
        <v>3875</v>
      </c>
      <c r="CE57">
        <v>0</v>
      </c>
      <c r="CF57">
        <v>0</v>
      </c>
      <c r="CG57">
        <v>26397</v>
      </c>
      <c r="CH57">
        <v>0</v>
      </c>
      <c r="CI57">
        <v>0</v>
      </c>
      <c r="CJ57">
        <v>14971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38904</v>
      </c>
      <c r="DB57">
        <v>0</v>
      </c>
      <c r="DC57">
        <v>0</v>
      </c>
      <c r="DD57">
        <v>20398</v>
      </c>
      <c r="DE57">
        <v>0</v>
      </c>
      <c r="DF57">
        <v>0</v>
      </c>
      <c r="DG57">
        <v>1503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63880</v>
      </c>
      <c r="DN57">
        <v>5</v>
      </c>
      <c r="DO57">
        <v>891</v>
      </c>
      <c r="DP57">
        <v>634</v>
      </c>
      <c r="DQ57">
        <v>4033</v>
      </c>
      <c r="DR57">
        <v>58318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151196</v>
      </c>
      <c r="DZ57">
        <v>264</v>
      </c>
      <c r="EA57">
        <v>896</v>
      </c>
      <c r="EB57">
        <v>976</v>
      </c>
      <c r="EC57">
        <v>4300</v>
      </c>
      <c r="ED57">
        <v>144759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87316</v>
      </c>
      <c r="EL57">
        <v>259</v>
      </c>
      <c r="EM57">
        <v>6</v>
      </c>
      <c r="EN57">
        <v>343</v>
      </c>
      <c r="EO57">
        <v>267</v>
      </c>
      <c r="EP57">
        <v>86441</v>
      </c>
      <c r="EQ57">
        <v>0</v>
      </c>
      <c r="ER57">
        <v>0</v>
      </c>
      <c r="ES57">
        <v>0</v>
      </c>
      <c r="ET57">
        <v>19159</v>
      </c>
      <c r="EU57">
        <v>0</v>
      </c>
      <c r="EV57">
        <v>0</v>
      </c>
      <c r="EW57">
        <v>0</v>
      </c>
    </row>
    <row r="58" spans="1:153" ht="18" x14ac:dyDescent="0.2">
      <c r="A58" t="s">
        <v>163</v>
      </c>
      <c r="B58" t="s">
        <v>199</v>
      </c>
      <c r="C58" t="s">
        <v>214</v>
      </c>
      <c r="D58" t="s">
        <v>232</v>
      </c>
      <c r="E58" t="s">
        <v>245</v>
      </c>
      <c r="G58">
        <v>400</v>
      </c>
      <c r="I58" s="2">
        <v>220</v>
      </c>
      <c r="K58">
        <v>4176</v>
      </c>
      <c r="M58">
        <v>3919</v>
      </c>
      <c r="N58">
        <v>19710</v>
      </c>
      <c r="O58">
        <v>15</v>
      </c>
      <c r="P58">
        <v>185</v>
      </c>
      <c r="Q58">
        <v>11917</v>
      </c>
      <c r="R58">
        <v>30</v>
      </c>
      <c r="S58">
        <v>67</v>
      </c>
      <c r="T58">
        <v>600</v>
      </c>
      <c r="U58">
        <v>65</v>
      </c>
      <c r="V58">
        <v>52</v>
      </c>
      <c r="W58">
        <v>2892</v>
      </c>
      <c r="X58">
        <v>225</v>
      </c>
      <c r="Y58">
        <v>60</v>
      </c>
      <c r="Z58">
        <v>410</v>
      </c>
      <c r="AA58">
        <v>39</v>
      </c>
      <c r="AB58">
        <v>678</v>
      </c>
      <c r="AC58">
        <v>862</v>
      </c>
      <c r="AD58">
        <v>265</v>
      </c>
      <c r="AE58">
        <v>89</v>
      </c>
      <c r="AF58">
        <v>391</v>
      </c>
      <c r="AG58">
        <v>35</v>
      </c>
      <c r="AH58">
        <v>9194</v>
      </c>
      <c r="AI58">
        <v>25389</v>
      </c>
      <c r="AJ58">
        <v>97</v>
      </c>
      <c r="AK58">
        <v>424</v>
      </c>
      <c r="AL58">
        <v>9654</v>
      </c>
      <c r="AM58">
        <v>247</v>
      </c>
      <c r="AN58">
        <v>896</v>
      </c>
      <c r="AO58">
        <v>3084</v>
      </c>
      <c r="AP58">
        <v>97</v>
      </c>
      <c r="AQ58">
        <v>829</v>
      </c>
      <c r="AR58">
        <v>2247</v>
      </c>
      <c r="AS58">
        <v>0</v>
      </c>
      <c r="AT58">
        <v>9</v>
      </c>
      <c r="AU58">
        <v>9</v>
      </c>
      <c r="AV58">
        <v>442</v>
      </c>
      <c r="AW58">
        <v>2437</v>
      </c>
      <c r="AX58">
        <v>3307</v>
      </c>
      <c r="AY58">
        <v>385</v>
      </c>
      <c r="AZ58">
        <v>1822</v>
      </c>
      <c r="BA58">
        <v>10344</v>
      </c>
      <c r="BB58">
        <v>330</v>
      </c>
      <c r="BC58">
        <v>2371</v>
      </c>
      <c r="BD58">
        <v>13688</v>
      </c>
      <c r="BE58">
        <v>75</v>
      </c>
      <c r="BF58">
        <v>172</v>
      </c>
      <c r="BG58">
        <v>3430</v>
      </c>
      <c r="BH58">
        <v>22</v>
      </c>
      <c r="BI58">
        <v>240</v>
      </c>
      <c r="BJ58">
        <v>811</v>
      </c>
      <c r="BK58">
        <v>136</v>
      </c>
      <c r="BL58">
        <v>1609</v>
      </c>
      <c r="BM58">
        <v>10823</v>
      </c>
      <c r="BN58">
        <v>61</v>
      </c>
      <c r="BO58">
        <v>619</v>
      </c>
      <c r="BP58">
        <v>1675</v>
      </c>
      <c r="BQ58">
        <v>19</v>
      </c>
      <c r="BR58">
        <v>21665</v>
      </c>
      <c r="BS58">
        <v>27220</v>
      </c>
      <c r="BT58">
        <v>204</v>
      </c>
      <c r="BU58">
        <v>2659</v>
      </c>
      <c r="BV58">
        <v>6237</v>
      </c>
      <c r="BW58">
        <v>198</v>
      </c>
      <c r="BX58">
        <v>4928</v>
      </c>
      <c r="BY58">
        <v>8375</v>
      </c>
      <c r="BZ58">
        <v>41</v>
      </c>
      <c r="CA58">
        <v>90</v>
      </c>
      <c r="CB58">
        <v>638</v>
      </c>
      <c r="CC58">
        <v>4</v>
      </c>
      <c r="CD58">
        <v>40</v>
      </c>
      <c r="CE58">
        <v>3919</v>
      </c>
      <c r="CF58">
        <v>266</v>
      </c>
      <c r="CG58">
        <v>9160</v>
      </c>
      <c r="CH58">
        <v>35823</v>
      </c>
      <c r="CI58">
        <v>69</v>
      </c>
      <c r="CJ58">
        <v>513</v>
      </c>
      <c r="CK58">
        <v>15554</v>
      </c>
      <c r="CL58">
        <v>13536</v>
      </c>
      <c r="CM58">
        <v>11007</v>
      </c>
      <c r="CN58">
        <v>2124</v>
      </c>
      <c r="CO58">
        <v>12624</v>
      </c>
      <c r="CP58">
        <v>21928</v>
      </c>
      <c r="CQ58">
        <v>833</v>
      </c>
      <c r="CR58">
        <v>21085</v>
      </c>
      <c r="CS58">
        <v>10092</v>
      </c>
      <c r="CT58">
        <v>52035</v>
      </c>
      <c r="CU58">
        <v>7204</v>
      </c>
      <c r="CV58">
        <v>14459</v>
      </c>
      <c r="CW58">
        <v>299</v>
      </c>
      <c r="CX58">
        <v>2496</v>
      </c>
      <c r="CY58">
        <v>3437</v>
      </c>
      <c r="CZ58">
        <v>567</v>
      </c>
      <c r="DA58">
        <v>12243</v>
      </c>
      <c r="DB58">
        <v>51713</v>
      </c>
      <c r="DC58">
        <v>353</v>
      </c>
      <c r="DD58">
        <v>24075</v>
      </c>
      <c r="DE58">
        <v>44827</v>
      </c>
      <c r="DF58">
        <v>102</v>
      </c>
      <c r="DG58">
        <v>718</v>
      </c>
      <c r="DH58">
        <v>2323</v>
      </c>
      <c r="DI58">
        <v>415</v>
      </c>
      <c r="DJ58">
        <v>987</v>
      </c>
      <c r="DK58">
        <v>769</v>
      </c>
      <c r="DL58">
        <v>2171</v>
      </c>
      <c r="DM58">
        <v>39188</v>
      </c>
      <c r="DN58">
        <v>1111</v>
      </c>
      <c r="DO58">
        <v>320</v>
      </c>
      <c r="DP58">
        <v>734</v>
      </c>
      <c r="DQ58">
        <v>2823</v>
      </c>
      <c r="DR58">
        <v>34199</v>
      </c>
      <c r="DS58">
        <v>105239</v>
      </c>
      <c r="DT58">
        <v>91249</v>
      </c>
      <c r="DU58">
        <v>918</v>
      </c>
      <c r="DV58">
        <v>1565</v>
      </c>
      <c r="DW58">
        <v>1352</v>
      </c>
      <c r="DX58">
        <v>3834</v>
      </c>
      <c r="DY58">
        <v>66767</v>
      </c>
      <c r="DZ58">
        <v>1404</v>
      </c>
      <c r="EA58">
        <v>489</v>
      </c>
      <c r="EB58">
        <v>1333</v>
      </c>
      <c r="EC58">
        <v>5611</v>
      </c>
      <c r="ED58">
        <v>57930</v>
      </c>
      <c r="EE58">
        <v>221797</v>
      </c>
      <c r="EF58">
        <v>9560</v>
      </c>
      <c r="EG58">
        <v>503</v>
      </c>
      <c r="EH58">
        <v>577</v>
      </c>
      <c r="EI58">
        <v>583</v>
      </c>
      <c r="EJ58">
        <v>1663</v>
      </c>
      <c r="EK58">
        <v>27579</v>
      </c>
      <c r="EL58">
        <v>293</v>
      </c>
      <c r="EM58">
        <v>168</v>
      </c>
      <c r="EN58">
        <v>599</v>
      </c>
      <c r="EO58">
        <v>2788</v>
      </c>
      <c r="EP58">
        <v>23730</v>
      </c>
      <c r="EQ58">
        <v>116558</v>
      </c>
      <c r="ER58">
        <v>20690</v>
      </c>
      <c r="ES58">
        <v>335</v>
      </c>
      <c r="ET58">
        <v>7226</v>
      </c>
      <c r="EU58">
        <v>26719</v>
      </c>
      <c r="EV58">
        <v>36676</v>
      </c>
      <c r="EW58">
        <v>24542</v>
      </c>
    </row>
    <row r="59" spans="1:153" ht="18" x14ac:dyDescent="0.2">
      <c r="A59" t="s">
        <v>165</v>
      </c>
      <c r="B59" t="s">
        <v>200</v>
      </c>
      <c r="C59" t="s">
        <v>214</v>
      </c>
      <c r="D59" t="s">
        <v>232</v>
      </c>
      <c r="E59" t="s">
        <v>245</v>
      </c>
      <c r="G59">
        <v>1081</v>
      </c>
      <c r="I59" s="2">
        <v>1129</v>
      </c>
      <c r="K59">
        <v>38218</v>
      </c>
      <c r="M59">
        <v>39415</v>
      </c>
      <c r="N59">
        <v>39302</v>
      </c>
      <c r="O59">
        <v>305</v>
      </c>
      <c r="P59">
        <v>39713</v>
      </c>
      <c r="Q59">
        <v>40018</v>
      </c>
      <c r="R59">
        <v>538</v>
      </c>
      <c r="S59">
        <v>2507</v>
      </c>
      <c r="T59">
        <v>3046</v>
      </c>
      <c r="U59">
        <v>169</v>
      </c>
      <c r="V59">
        <v>9706</v>
      </c>
      <c r="W59">
        <v>9875</v>
      </c>
      <c r="X59">
        <v>781</v>
      </c>
      <c r="Y59">
        <v>5415</v>
      </c>
      <c r="Z59">
        <v>6196</v>
      </c>
      <c r="AA59">
        <v>241</v>
      </c>
      <c r="AB59">
        <v>6709</v>
      </c>
      <c r="AC59">
        <v>6950</v>
      </c>
      <c r="AD59">
        <v>620</v>
      </c>
      <c r="AE59">
        <v>3172</v>
      </c>
      <c r="AF59">
        <v>3792</v>
      </c>
      <c r="AG59">
        <v>69</v>
      </c>
      <c r="AH59">
        <v>51672</v>
      </c>
      <c r="AI59">
        <v>51741</v>
      </c>
      <c r="AJ59">
        <v>627</v>
      </c>
      <c r="AK59">
        <v>35772</v>
      </c>
      <c r="AL59">
        <v>36399</v>
      </c>
      <c r="AM59">
        <v>1424</v>
      </c>
      <c r="AN59">
        <v>17884</v>
      </c>
      <c r="AO59">
        <v>19308</v>
      </c>
      <c r="AP59">
        <v>461</v>
      </c>
      <c r="AQ59">
        <v>13727</v>
      </c>
      <c r="AR59">
        <v>14189</v>
      </c>
      <c r="AS59">
        <v>75</v>
      </c>
      <c r="AT59">
        <v>1688</v>
      </c>
      <c r="AU59">
        <v>1763</v>
      </c>
      <c r="AV59">
        <v>4631</v>
      </c>
      <c r="AW59">
        <v>18014</v>
      </c>
      <c r="AX59">
        <v>22645</v>
      </c>
      <c r="AY59">
        <v>3453</v>
      </c>
      <c r="AZ59">
        <v>79295</v>
      </c>
      <c r="BA59">
        <v>82749</v>
      </c>
      <c r="BB59">
        <v>1495</v>
      </c>
      <c r="BC59">
        <v>100922</v>
      </c>
      <c r="BD59">
        <v>102816</v>
      </c>
      <c r="BE59">
        <v>787</v>
      </c>
      <c r="BF59">
        <v>42375</v>
      </c>
      <c r="BG59">
        <v>43748</v>
      </c>
      <c r="BH59">
        <v>673</v>
      </c>
      <c r="BI59">
        <v>6670</v>
      </c>
      <c r="BJ59">
        <v>7343</v>
      </c>
      <c r="BK59">
        <v>843</v>
      </c>
      <c r="BL59">
        <v>42664</v>
      </c>
      <c r="BM59">
        <v>43506</v>
      </c>
      <c r="BN59">
        <v>70</v>
      </c>
      <c r="BO59">
        <v>9390</v>
      </c>
      <c r="BP59">
        <v>9460</v>
      </c>
      <c r="BQ59">
        <v>223</v>
      </c>
      <c r="BR59">
        <v>68886</v>
      </c>
      <c r="BS59">
        <v>69109</v>
      </c>
      <c r="BT59">
        <v>320</v>
      </c>
      <c r="BU59">
        <v>28811</v>
      </c>
      <c r="BV59">
        <v>29131</v>
      </c>
      <c r="BW59">
        <v>649</v>
      </c>
      <c r="BX59">
        <v>115376</v>
      </c>
      <c r="BY59">
        <v>116039</v>
      </c>
      <c r="BZ59">
        <v>88</v>
      </c>
      <c r="CA59">
        <v>5660</v>
      </c>
      <c r="CB59">
        <v>5748</v>
      </c>
      <c r="CC59">
        <v>179</v>
      </c>
      <c r="CD59">
        <v>47193</v>
      </c>
      <c r="CE59">
        <v>47443</v>
      </c>
      <c r="CF59">
        <v>507</v>
      </c>
      <c r="CG59">
        <v>239667</v>
      </c>
      <c r="CH59">
        <v>240173</v>
      </c>
      <c r="CI59">
        <v>463</v>
      </c>
      <c r="CJ59">
        <v>139060</v>
      </c>
      <c r="CK59">
        <v>191983</v>
      </c>
      <c r="CL59">
        <v>121205</v>
      </c>
      <c r="CM59">
        <v>67805</v>
      </c>
      <c r="CN59">
        <v>21132</v>
      </c>
      <c r="CO59">
        <v>155694</v>
      </c>
      <c r="CP59">
        <v>105880</v>
      </c>
      <c r="CQ59">
        <v>12569</v>
      </c>
      <c r="CR59">
        <v>210097</v>
      </c>
      <c r="CS59">
        <v>67458</v>
      </c>
      <c r="CT59">
        <v>89434</v>
      </c>
      <c r="CU59">
        <v>127588</v>
      </c>
      <c r="CV59">
        <v>137998</v>
      </c>
      <c r="CW59">
        <v>35386</v>
      </c>
      <c r="CX59">
        <v>30947</v>
      </c>
      <c r="CY59">
        <v>72086</v>
      </c>
      <c r="CZ59">
        <v>1453</v>
      </c>
      <c r="DA59">
        <v>304250</v>
      </c>
      <c r="DB59">
        <v>305703</v>
      </c>
      <c r="DC59">
        <v>1897</v>
      </c>
      <c r="DD59">
        <v>217001</v>
      </c>
      <c r="DE59">
        <v>219367</v>
      </c>
      <c r="DF59">
        <v>233</v>
      </c>
      <c r="DG59">
        <v>16738</v>
      </c>
      <c r="DH59">
        <v>16971</v>
      </c>
      <c r="DI59">
        <v>3520</v>
      </c>
      <c r="DJ59">
        <v>5982</v>
      </c>
      <c r="DK59">
        <v>5918</v>
      </c>
      <c r="DL59">
        <v>15421</v>
      </c>
      <c r="DM59">
        <v>715784</v>
      </c>
      <c r="DN59">
        <v>4661</v>
      </c>
      <c r="DO59">
        <v>12402</v>
      </c>
      <c r="DP59">
        <v>19813</v>
      </c>
      <c r="DQ59">
        <v>77529</v>
      </c>
      <c r="DR59">
        <v>601379</v>
      </c>
      <c r="DS59">
        <v>844771</v>
      </c>
      <c r="DT59">
        <v>507146</v>
      </c>
      <c r="DU59">
        <v>4796</v>
      </c>
      <c r="DV59">
        <v>8255</v>
      </c>
      <c r="DW59">
        <v>8269</v>
      </c>
      <c r="DX59">
        <v>21321</v>
      </c>
      <c r="DY59">
        <v>1189616</v>
      </c>
      <c r="DZ59">
        <v>8009</v>
      </c>
      <c r="EA59">
        <v>18341</v>
      </c>
      <c r="EB59">
        <v>34194</v>
      </c>
      <c r="EC59">
        <v>116506</v>
      </c>
      <c r="ED59">
        <v>1012566</v>
      </c>
      <c r="EE59">
        <v>1324506</v>
      </c>
      <c r="EF59">
        <v>68454</v>
      </c>
      <c r="EG59">
        <v>1276</v>
      </c>
      <c r="EH59">
        <v>2273</v>
      </c>
      <c r="EI59">
        <v>2351</v>
      </c>
      <c r="EJ59">
        <v>5900</v>
      </c>
      <c r="EK59">
        <v>473832</v>
      </c>
      <c r="EL59">
        <v>3348</v>
      </c>
      <c r="EM59">
        <v>5939</v>
      </c>
      <c r="EN59">
        <v>14381</v>
      </c>
      <c r="EO59">
        <v>38977</v>
      </c>
      <c r="EP59">
        <v>411187</v>
      </c>
      <c r="EQ59">
        <v>479735</v>
      </c>
      <c r="ER59">
        <v>276417</v>
      </c>
      <c r="ES59">
        <v>1662</v>
      </c>
      <c r="ET59">
        <v>273885</v>
      </c>
      <c r="EU59">
        <v>388056</v>
      </c>
      <c r="EV59">
        <v>282706</v>
      </c>
      <c r="EW59">
        <v>189010</v>
      </c>
    </row>
    <row r="60" spans="1:153" ht="18" x14ac:dyDescent="0.2">
      <c r="A60" t="s">
        <v>167</v>
      </c>
      <c r="B60" t="s">
        <v>181</v>
      </c>
      <c r="C60" t="s">
        <v>214</v>
      </c>
      <c r="D60" t="s">
        <v>228</v>
      </c>
      <c r="E60" t="s">
        <v>245</v>
      </c>
      <c r="F60">
        <f>SUM(G49:G59)</f>
        <v>5204</v>
      </c>
      <c r="G60">
        <v>5204</v>
      </c>
      <c r="H60">
        <f>SUM(I49:I59)</f>
        <v>4360</v>
      </c>
      <c r="I60" s="2">
        <v>4361</v>
      </c>
      <c r="J60">
        <f>SUM(K49:K59)</f>
        <v>134590</v>
      </c>
      <c r="K60">
        <v>134590</v>
      </c>
      <c r="L60">
        <f>SUM(M49:M59)</f>
        <v>135889</v>
      </c>
      <c r="M60">
        <v>135889</v>
      </c>
      <c r="N60">
        <v>139794</v>
      </c>
      <c r="O60">
        <v>1058</v>
      </c>
      <c r="P60">
        <v>108669</v>
      </c>
      <c r="Q60">
        <v>109727</v>
      </c>
      <c r="R60">
        <v>1261</v>
      </c>
      <c r="S60">
        <v>5651</v>
      </c>
      <c r="T60">
        <v>6912</v>
      </c>
      <c r="U60">
        <v>695</v>
      </c>
      <c r="V60">
        <v>19769</v>
      </c>
      <c r="W60">
        <v>20465</v>
      </c>
      <c r="X60">
        <v>2251</v>
      </c>
      <c r="Y60">
        <v>13759</v>
      </c>
      <c r="Z60">
        <v>16011</v>
      </c>
      <c r="AA60">
        <v>1347</v>
      </c>
      <c r="AB60">
        <v>32643</v>
      </c>
      <c r="AC60">
        <v>33990</v>
      </c>
      <c r="AD60">
        <v>1818</v>
      </c>
      <c r="AE60">
        <v>7066</v>
      </c>
      <c r="AF60">
        <v>8884</v>
      </c>
      <c r="AG60">
        <v>319</v>
      </c>
      <c r="AH60">
        <v>195419</v>
      </c>
      <c r="AI60">
        <v>195738</v>
      </c>
      <c r="AJ60">
        <v>2362</v>
      </c>
      <c r="AK60">
        <v>114190</v>
      </c>
      <c r="AL60">
        <v>116552</v>
      </c>
      <c r="AM60">
        <v>4159</v>
      </c>
      <c r="AN60">
        <v>52364</v>
      </c>
      <c r="AO60">
        <v>56523</v>
      </c>
      <c r="AP60">
        <v>1746</v>
      </c>
      <c r="AQ60">
        <v>39739</v>
      </c>
      <c r="AR60">
        <v>41484</v>
      </c>
      <c r="AS60">
        <v>525</v>
      </c>
      <c r="AT60">
        <v>5298</v>
      </c>
      <c r="AU60">
        <v>5822</v>
      </c>
      <c r="AV60">
        <v>11679</v>
      </c>
      <c r="AW60">
        <v>48211</v>
      </c>
      <c r="AX60">
        <v>59890</v>
      </c>
      <c r="AY60">
        <v>8382</v>
      </c>
      <c r="AZ60">
        <v>155647</v>
      </c>
      <c r="BA60">
        <v>164029</v>
      </c>
      <c r="BB60">
        <v>3585</v>
      </c>
      <c r="BC60">
        <v>193805</v>
      </c>
      <c r="BD60">
        <v>197390</v>
      </c>
      <c r="BE60">
        <v>2473</v>
      </c>
      <c r="BF60">
        <v>88941</v>
      </c>
      <c r="BG60">
        <v>91414</v>
      </c>
      <c r="BH60">
        <v>1484</v>
      </c>
      <c r="BI60">
        <v>13351</v>
      </c>
      <c r="BJ60">
        <v>14835</v>
      </c>
      <c r="BK60">
        <v>2556</v>
      </c>
      <c r="BL60">
        <v>82621</v>
      </c>
      <c r="BM60">
        <v>85176</v>
      </c>
      <c r="BN60">
        <v>652</v>
      </c>
      <c r="BO60">
        <v>27844</v>
      </c>
      <c r="BP60">
        <v>28495</v>
      </c>
      <c r="BQ60">
        <v>396</v>
      </c>
      <c r="BR60">
        <v>175749</v>
      </c>
      <c r="BS60">
        <v>176145</v>
      </c>
      <c r="BT60">
        <v>1389</v>
      </c>
      <c r="BU60">
        <v>120996</v>
      </c>
      <c r="BV60">
        <v>122385</v>
      </c>
      <c r="BW60">
        <v>2891</v>
      </c>
      <c r="BX60">
        <v>245807</v>
      </c>
      <c r="BY60">
        <v>248698</v>
      </c>
      <c r="BZ60">
        <v>568</v>
      </c>
      <c r="CA60">
        <v>20570</v>
      </c>
      <c r="CB60">
        <v>21138</v>
      </c>
      <c r="CC60">
        <v>427</v>
      </c>
      <c r="CD60">
        <v>86763</v>
      </c>
      <c r="CE60">
        <v>87190</v>
      </c>
      <c r="CF60">
        <v>1707</v>
      </c>
      <c r="CG60">
        <v>393070</v>
      </c>
      <c r="CH60">
        <v>394776</v>
      </c>
      <c r="CI60">
        <v>1066</v>
      </c>
      <c r="CJ60">
        <v>254032</v>
      </c>
      <c r="CK60">
        <v>255098</v>
      </c>
      <c r="CL60">
        <v>382007</v>
      </c>
      <c r="CM60">
        <v>341544</v>
      </c>
      <c r="CN60">
        <v>61459</v>
      </c>
      <c r="CO60">
        <v>344658</v>
      </c>
      <c r="CP60">
        <v>359361</v>
      </c>
      <c r="CQ60">
        <v>16442</v>
      </c>
      <c r="CR60">
        <v>284010</v>
      </c>
      <c r="CS60">
        <v>103820</v>
      </c>
      <c r="CT60">
        <v>220700</v>
      </c>
      <c r="CU60">
        <v>169700</v>
      </c>
      <c r="CV60">
        <v>205255</v>
      </c>
      <c r="CW60">
        <v>49346</v>
      </c>
      <c r="CX60">
        <v>45994</v>
      </c>
      <c r="CY60">
        <v>134807</v>
      </c>
      <c r="CZ60">
        <v>5457</v>
      </c>
      <c r="DA60">
        <v>628256</v>
      </c>
      <c r="DB60">
        <v>633713</v>
      </c>
      <c r="DC60">
        <v>4408</v>
      </c>
      <c r="DD60">
        <v>456317</v>
      </c>
      <c r="DE60">
        <v>460725</v>
      </c>
      <c r="DF60">
        <v>1744</v>
      </c>
      <c r="DG60">
        <v>53712</v>
      </c>
      <c r="DH60">
        <v>55456</v>
      </c>
      <c r="DI60">
        <v>9819</v>
      </c>
      <c r="DJ60">
        <v>16922</v>
      </c>
      <c r="DK60">
        <v>15266</v>
      </c>
      <c r="DL60">
        <v>42006</v>
      </c>
      <c r="DM60">
        <v>1548658</v>
      </c>
      <c r="DN60">
        <v>15152</v>
      </c>
      <c r="DO60">
        <v>34058</v>
      </c>
      <c r="DP60">
        <v>49258</v>
      </c>
      <c r="DQ60">
        <v>167005</v>
      </c>
      <c r="DR60">
        <v>1283183</v>
      </c>
      <c r="DS60">
        <v>1590664</v>
      </c>
      <c r="DT60">
        <v>794673</v>
      </c>
      <c r="DU60">
        <v>14541</v>
      </c>
      <c r="DV60">
        <v>25435</v>
      </c>
      <c r="DW60">
        <v>23349</v>
      </c>
      <c r="DX60">
        <v>63325</v>
      </c>
      <c r="DY60">
        <v>2733085</v>
      </c>
      <c r="DZ60">
        <v>26698</v>
      </c>
      <c r="EA60">
        <v>55412</v>
      </c>
      <c r="EB60">
        <v>89779</v>
      </c>
      <c r="EC60">
        <v>258816</v>
      </c>
      <c r="ED60">
        <v>2302380</v>
      </c>
      <c r="EE60">
        <v>2796410</v>
      </c>
      <c r="EF60">
        <v>136308</v>
      </c>
      <c r="EG60">
        <v>4722</v>
      </c>
      <c r="EH60">
        <v>8514</v>
      </c>
      <c r="EI60">
        <v>8083</v>
      </c>
      <c r="EJ60">
        <v>21319</v>
      </c>
      <c r="EK60">
        <v>1184427</v>
      </c>
      <c r="EL60">
        <v>11546</v>
      </c>
      <c r="EM60">
        <v>21354</v>
      </c>
      <c r="EN60">
        <v>40520</v>
      </c>
      <c r="EO60">
        <v>91810</v>
      </c>
      <c r="EP60">
        <v>1019197</v>
      </c>
      <c r="EQ60">
        <v>1205746</v>
      </c>
      <c r="ER60">
        <v>435402</v>
      </c>
      <c r="ES60">
        <v>5284</v>
      </c>
      <c r="ET60">
        <v>596361</v>
      </c>
      <c r="EU60">
        <v>601645</v>
      </c>
      <c r="EV60">
        <v>765478</v>
      </c>
      <c r="EW60">
        <v>723551</v>
      </c>
    </row>
    <row r="61" spans="1:153" ht="18" x14ac:dyDescent="0.2">
      <c r="A61" t="s">
        <v>169</v>
      </c>
      <c r="B61" t="s">
        <v>183</v>
      </c>
      <c r="C61" t="s">
        <v>215</v>
      </c>
      <c r="D61" t="s">
        <v>228</v>
      </c>
      <c r="E61" t="s">
        <v>245</v>
      </c>
      <c r="G61">
        <v>2069</v>
      </c>
      <c r="I61" s="2">
        <v>1942</v>
      </c>
      <c r="K61">
        <v>29489</v>
      </c>
      <c r="M61">
        <v>33834</v>
      </c>
      <c r="N61">
        <v>31558</v>
      </c>
      <c r="O61">
        <v>828</v>
      </c>
      <c r="P61">
        <v>6790</v>
      </c>
      <c r="Q61">
        <v>7618</v>
      </c>
      <c r="R61">
        <v>205</v>
      </c>
      <c r="S61">
        <v>2680</v>
      </c>
      <c r="T61">
        <v>2885</v>
      </c>
      <c r="U61">
        <v>99</v>
      </c>
      <c r="V61">
        <v>8219</v>
      </c>
      <c r="W61">
        <v>8318</v>
      </c>
      <c r="X61">
        <v>392</v>
      </c>
      <c r="Y61">
        <v>12974</v>
      </c>
      <c r="Z61">
        <v>13367</v>
      </c>
      <c r="AA61">
        <v>875</v>
      </c>
      <c r="AB61">
        <v>19842</v>
      </c>
      <c r="AC61">
        <v>20717</v>
      </c>
      <c r="AD61">
        <v>539</v>
      </c>
      <c r="AE61">
        <v>11743</v>
      </c>
      <c r="AF61">
        <v>12282</v>
      </c>
      <c r="AG61">
        <v>103</v>
      </c>
      <c r="AH61">
        <v>10229</v>
      </c>
      <c r="AI61">
        <v>10333</v>
      </c>
      <c r="AJ61">
        <v>729</v>
      </c>
      <c r="AK61">
        <v>20421</v>
      </c>
      <c r="AL61">
        <v>21150</v>
      </c>
      <c r="AM61">
        <v>1447</v>
      </c>
      <c r="AN61">
        <v>38056</v>
      </c>
      <c r="AO61">
        <v>39504</v>
      </c>
      <c r="AP61">
        <v>1044</v>
      </c>
      <c r="AQ61">
        <v>17197</v>
      </c>
      <c r="AR61">
        <v>18241</v>
      </c>
      <c r="AS61">
        <v>244</v>
      </c>
      <c r="AT61">
        <v>2120</v>
      </c>
      <c r="AU61">
        <v>2364</v>
      </c>
      <c r="AV61">
        <v>3278</v>
      </c>
      <c r="AW61">
        <v>27661</v>
      </c>
      <c r="AX61">
        <v>30938</v>
      </c>
      <c r="AY61">
        <v>1439</v>
      </c>
      <c r="AZ61">
        <v>38676</v>
      </c>
      <c r="BA61">
        <v>40114</v>
      </c>
      <c r="BB61">
        <v>567</v>
      </c>
      <c r="BC61">
        <v>46850</v>
      </c>
      <c r="BD61">
        <v>47417</v>
      </c>
      <c r="BE61">
        <v>570</v>
      </c>
      <c r="BF61">
        <v>20163</v>
      </c>
      <c r="BG61">
        <v>20732</v>
      </c>
      <c r="BH61">
        <v>187</v>
      </c>
      <c r="BI61">
        <v>16932</v>
      </c>
      <c r="BJ61">
        <v>17120</v>
      </c>
      <c r="BK61">
        <v>343</v>
      </c>
      <c r="BL61">
        <v>54413</v>
      </c>
      <c r="BM61">
        <v>54755</v>
      </c>
      <c r="BN61">
        <v>197</v>
      </c>
      <c r="BO61">
        <v>12741</v>
      </c>
      <c r="BP61">
        <v>12937</v>
      </c>
      <c r="BQ61">
        <v>75</v>
      </c>
      <c r="BR61">
        <v>7899</v>
      </c>
      <c r="BS61">
        <v>7975</v>
      </c>
      <c r="BT61">
        <v>621</v>
      </c>
      <c r="BU61">
        <v>30751</v>
      </c>
      <c r="BV61">
        <v>31373</v>
      </c>
      <c r="BW61">
        <v>504</v>
      </c>
      <c r="BX61">
        <v>27732</v>
      </c>
      <c r="BY61">
        <v>28236</v>
      </c>
      <c r="BZ61">
        <v>755</v>
      </c>
      <c r="CA61">
        <v>4686</v>
      </c>
      <c r="CB61">
        <v>5441</v>
      </c>
      <c r="CC61">
        <v>58</v>
      </c>
      <c r="CD61">
        <v>12306</v>
      </c>
      <c r="CE61">
        <v>12364</v>
      </c>
      <c r="CF61">
        <v>514</v>
      </c>
      <c r="CG61">
        <v>78959</v>
      </c>
      <c r="CH61">
        <v>79473</v>
      </c>
      <c r="CI61">
        <v>91</v>
      </c>
      <c r="CJ61">
        <v>16282</v>
      </c>
      <c r="CK61">
        <v>16372</v>
      </c>
      <c r="CL61">
        <v>78017</v>
      </c>
      <c r="CM61">
        <v>54682</v>
      </c>
      <c r="CN61">
        <v>8482</v>
      </c>
      <c r="CO61">
        <v>12542</v>
      </c>
      <c r="CP61">
        <v>55974</v>
      </c>
      <c r="CQ61">
        <v>12380</v>
      </c>
      <c r="CR61">
        <v>83848</v>
      </c>
      <c r="CS61">
        <v>18871</v>
      </c>
      <c r="CT61">
        <v>66757</v>
      </c>
      <c r="CU61">
        <v>62995</v>
      </c>
      <c r="CV61">
        <v>131136</v>
      </c>
      <c r="CW61">
        <v>30712</v>
      </c>
      <c r="CX61">
        <v>20117</v>
      </c>
      <c r="CY61">
        <v>61711</v>
      </c>
      <c r="CZ61">
        <v>1864</v>
      </c>
      <c r="DA61">
        <v>130132</v>
      </c>
      <c r="DB61">
        <v>131996</v>
      </c>
      <c r="DC61">
        <v>700</v>
      </c>
      <c r="DD61">
        <v>67056</v>
      </c>
      <c r="DE61">
        <v>67756</v>
      </c>
      <c r="DF61">
        <v>1196</v>
      </c>
      <c r="DG61">
        <v>19546</v>
      </c>
      <c r="DH61">
        <v>20742</v>
      </c>
      <c r="DI61">
        <v>2304</v>
      </c>
      <c r="DJ61">
        <v>3758</v>
      </c>
      <c r="DK61">
        <v>3946</v>
      </c>
      <c r="DL61">
        <v>10007</v>
      </c>
      <c r="DM61">
        <v>329097</v>
      </c>
      <c r="DN61">
        <v>6078</v>
      </c>
      <c r="DO61">
        <v>12451</v>
      </c>
      <c r="DP61">
        <v>30838</v>
      </c>
      <c r="DQ61">
        <v>95288</v>
      </c>
      <c r="DR61">
        <v>184443</v>
      </c>
      <c r="DS61">
        <v>339104</v>
      </c>
      <c r="DT61">
        <v>244850</v>
      </c>
      <c r="DU61">
        <v>4003</v>
      </c>
      <c r="DV61">
        <v>7248</v>
      </c>
      <c r="DW61">
        <v>6785</v>
      </c>
      <c r="DX61">
        <v>18036</v>
      </c>
      <c r="DY61">
        <v>586277</v>
      </c>
      <c r="DZ61">
        <v>9957</v>
      </c>
      <c r="EA61">
        <v>20681</v>
      </c>
      <c r="EB61">
        <v>58413</v>
      </c>
      <c r="EC61">
        <v>169268</v>
      </c>
      <c r="ED61">
        <v>327958</v>
      </c>
      <c r="EE61">
        <v>604313</v>
      </c>
      <c r="EF61">
        <v>34662</v>
      </c>
      <c r="EG61">
        <v>1699</v>
      </c>
      <c r="EH61">
        <v>3490</v>
      </c>
      <c r="EI61">
        <v>2839</v>
      </c>
      <c r="EJ61">
        <v>8029</v>
      </c>
      <c r="EK61">
        <v>257180</v>
      </c>
      <c r="EL61">
        <v>3880</v>
      </c>
      <c r="EM61">
        <v>8230</v>
      </c>
      <c r="EN61">
        <v>27575</v>
      </c>
      <c r="EO61">
        <v>73980</v>
      </c>
      <c r="EP61">
        <v>143515</v>
      </c>
      <c r="EQ61">
        <v>265210</v>
      </c>
      <c r="ER61">
        <v>243676</v>
      </c>
      <c r="ES61">
        <v>858</v>
      </c>
      <c r="ET61">
        <v>54480</v>
      </c>
      <c r="EU61">
        <v>55338</v>
      </c>
      <c r="EV61">
        <v>76997</v>
      </c>
      <c r="EW61">
        <v>132699</v>
      </c>
    </row>
    <row r="62" spans="1:153" ht="18" x14ac:dyDescent="0.2">
      <c r="A62" t="s">
        <v>171</v>
      </c>
      <c r="B62" t="s">
        <v>185</v>
      </c>
      <c r="C62" t="s">
        <v>215</v>
      </c>
      <c r="D62" t="s">
        <v>228</v>
      </c>
      <c r="E62" t="s">
        <v>245</v>
      </c>
      <c r="G62">
        <v>0</v>
      </c>
      <c r="I62" s="2">
        <v>0</v>
      </c>
      <c r="K62">
        <v>162358</v>
      </c>
      <c r="M62">
        <v>163620</v>
      </c>
      <c r="N62">
        <v>0</v>
      </c>
      <c r="O62">
        <v>0</v>
      </c>
      <c r="P62">
        <v>171784</v>
      </c>
      <c r="Q62">
        <v>0</v>
      </c>
      <c r="R62">
        <v>0</v>
      </c>
      <c r="S62">
        <v>1824</v>
      </c>
      <c r="T62">
        <v>0</v>
      </c>
      <c r="U62">
        <v>0</v>
      </c>
      <c r="V62">
        <v>19311</v>
      </c>
      <c r="W62">
        <v>0</v>
      </c>
      <c r="X62">
        <v>0</v>
      </c>
      <c r="Y62">
        <v>6848</v>
      </c>
      <c r="Z62">
        <v>0</v>
      </c>
      <c r="AA62">
        <v>0</v>
      </c>
      <c r="AB62">
        <v>15566</v>
      </c>
      <c r="AC62">
        <v>0</v>
      </c>
      <c r="AD62">
        <v>0</v>
      </c>
      <c r="AE62">
        <v>1180</v>
      </c>
      <c r="AF62">
        <v>0</v>
      </c>
      <c r="AG62">
        <v>0</v>
      </c>
      <c r="AH62">
        <v>141576</v>
      </c>
      <c r="AI62">
        <v>0</v>
      </c>
      <c r="AJ62">
        <v>0</v>
      </c>
      <c r="AK62">
        <v>77527</v>
      </c>
      <c r="AL62">
        <v>0</v>
      </c>
      <c r="AM62">
        <v>0</v>
      </c>
      <c r="AN62">
        <v>31378</v>
      </c>
      <c r="AO62">
        <v>0</v>
      </c>
      <c r="AP62">
        <v>0</v>
      </c>
      <c r="AQ62">
        <v>11990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28591</v>
      </c>
      <c r="AX62">
        <v>0</v>
      </c>
      <c r="AY62">
        <v>0</v>
      </c>
      <c r="AZ62">
        <v>66521</v>
      </c>
      <c r="BA62">
        <v>0</v>
      </c>
      <c r="BB62">
        <v>0</v>
      </c>
      <c r="BC62">
        <v>261616</v>
      </c>
      <c r="BD62">
        <v>0</v>
      </c>
      <c r="BE62">
        <v>0</v>
      </c>
      <c r="BF62">
        <v>23144</v>
      </c>
      <c r="BG62">
        <v>0</v>
      </c>
      <c r="BH62">
        <v>0</v>
      </c>
      <c r="BI62">
        <v>4859</v>
      </c>
      <c r="BJ62">
        <v>0</v>
      </c>
      <c r="BK62">
        <v>0</v>
      </c>
      <c r="BL62">
        <v>88863</v>
      </c>
      <c r="BM62">
        <v>0</v>
      </c>
      <c r="BN62">
        <v>0</v>
      </c>
      <c r="BO62">
        <v>16202</v>
      </c>
      <c r="BP62">
        <v>0</v>
      </c>
      <c r="BQ62">
        <v>0</v>
      </c>
      <c r="BR62">
        <v>34365</v>
      </c>
      <c r="BS62">
        <v>0</v>
      </c>
      <c r="BT62">
        <v>0</v>
      </c>
      <c r="BU62">
        <v>99640</v>
      </c>
      <c r="BV62">
        <v>0</v>
      </c>
      <c r="BW62">
        <v>0</v>
      </c>
      <c r="BX62">
        <v>46010</v>
      </c>
      <c r="BY62">
        <v>0</v>
      </c>
      <c r="BZ62">
        <v>0</v>
      </c>
      <c r="CA62">
        <v>14862</v>
      </c>
      <c r="CB62">
        <v>0</v>
      </c>
      <c r="CC62">
        <v>0</v>
      </c>
      <c r="CD62">
        <v>59842</v>
      </c>
      <c r="CE62">
        <v>0</v>
      </c>
      <c r="CF62">
        <v>0</v>
      </c>
      <c r="CG62">
        <v>341550</v>
      </c>
      <c r="CH62">
        <v>0</v>
      </c>
      <c r="CI62">
        <v>0</v>
      </c>
      <c r="CJ62">
        <v>177036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518717</v>
      </c>
      <c r="DB62">
        <v>0</v>
      </c>
      <c r="DC62">
        <v>0</v>
      </c>
      <c r="DD62">
        <v>355823</v>
      </c>
      <c r="DE62">
        <v>0</v>
      </c>
      <c r="DF62">
        <v>0</v>
      </c>
      <c r="DG62">
        <v>31064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847342</v>
      </c>
      <c r="DN62">
        <v>1334</v>
      </c>
      <c r="DO62">
        <v>428</v>
      </c>
      <c r="DP62">
        <v>7390</v>
      </c>
      <c r="DQ62">
        <v>45703</v>
      </c>
      <c r="DR62">
        <v>792487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1911035</v>
      </c>
      <c r="DZ62">
        <v>1336</v>
      </c>
      <c r="EA62">
        <v>454</v>
      </c>
      <c r="EB62">
        <v>9586</v>
      </c>
      <c r="EC62">
        <v>76852</v>
      </c>
      <c r="ED62">
        <v>1822808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1063694</v>
      </c>
      <c r="EL62">
        <v>2</v>
      </c>
      <c r="EM62">
        <v>25</v>
      </c>
      <c r="EN62">
        <v>2196</v>
      </c>
      <c r="EO62">
        <v>31149</v>
      </c>
      <c r="EP62">
        <v>1030321</v>
      </c>
      <c r="EQ62">
        <v>0</v>
      </c>
      <c r="ER62">
        <v>0</v>
      </c>
      <c r="ES62">
        <v>0</v>
      </c>
      <c r="ET62">
        <v>229639</v>
      </c>
      <c r="EU62">
        <v>0</v>
      </c>
      <c r="EV62">
        <v>0</v>
      </c>
      <c r="EW62">
        <v>0</v>
      </c>
    </row>
    <row r="63" spans="1:153" ht="18" x14ac:dyDescent="0.2">
      <c r="A63" t="s">
        <v>172</v>
      </c>
      <c r="B63" t="s">
        <v>187</v>
      </c>
      <c r="C63" t="s">
        <v>215</v>
      </c>
      <c r="D63" t="s">
        <v>228</v>
      </c>
      <c r="E63" t="s">
        <v>245</v>
      </c>
      <c r="G63">
        <v>1857</v>
      </c>
      <c r="I63" s="2">
        <v>1668</v>
      </c>
      <c r="K63">
        <v>86317</v>
      </c>
      <c r="M63">
        <v>88324</v>
      </c>
      <c r="N63">
        <v>250532</v>
      </c>
      <c r="O63">
        <v>885</v>
      </c>
      <c r="P63">
        <v>6703</v>
      </c>
      <c r="Q63">
        <v>179373</v>
      </c>
      <c r="R63">
        <v>574</v>
      </c>
      <c r="S63">
        <v>1913</v>
      </c>
      <c r="T63">
        <v>4310</v>
      </c>
      <c r="U63">
        <v>842</v>
      </c>
      <c r="V63">
        <v>2390</v>
      </c>
      <c r="W63">
        <v>22543</v>
      </c>
      <c r="X63">
        <v>214</v>
      </c>
      <c r="Y63">
        <v>2633</v>
      </c>
      <c r="Z63">
        <v>9695</v>
      </c>
      <c r="AA63">
        <v>25</v>
      </c>
      <c r="AB63">
        <v>9809</v>
      </c>
      <c r="AC63">
        <v>25401</v>
      </c>
      <c r="AD63">
        <v>276</v>
      </c>
      <c r="AE63">
        <v>2968</v>
      </c>
      <c r="AF63">
        <v>4423</v>
      </c>
      <c r="AG63">
        <v>83</v>
      </c>
      <c r="AH63">
        <v>44573</v>
      </c>
      <c r="AI63">
        <v>186232</v>
      </c>
      <c r="AJ63">
        <v>546</v>
      </c>
      <c r="AK63">
        <v>33495</v>
      </c>
      <c r="AL63">
        <v>111567</v>
      </c>
      <c r="AM63">
        <v>658</v>
      </c>
      <c r="AN63">
        <v>4922</v>
      </c>
      <c r="AO63">
        <v>36958</v>
      </c>
      <c r="AP63">
        <v>335</v>
      </c>
      <c r="AQ63">
        <v>32171</v>
      </c>
      <c r="AR63">
        <v>44496</v>
      </c>
      <c r="AS63">
        <v>25</v>
      </c>
      <c r="AT63">
        <v>146</v>
      </c>
      <c r="AU63">
        <v>171</v>
      </c>
      <c r="AV63">
        <v>2252</v>
      </c>
      <c r="AW63">
        <v>21244</v>
      </c>
      <c r="AX63">
        <v>52088</v>
      </c>
      <c r="AY63">
        <v>1298</v>
      </c>
      <c r="AZ63">
        <v>24740</v>
      </c>
      <c r="BA63">
        <v>92559</v>
      </c>
      <c r="BB63">
        <v>2010</v>
      </c>
      <c r="BC63">
        <v>14005</v>
      </c>
      <c r="BD63">
        <v>277632</v>
      </c>
      <c r="BE63">
        <v>189</v>
      </c>
      <c r="BF63">
        <v>14762</v>
      </c>
      <c r="BG63">
        <v>38095</v>
      </c>
      <c r="BH63">
        <v>859</v>
      </c>
      <c r="BI63">
        <v>3569</v>
      </c>
      <c r="BJ63">
        <v>9287</v>
      </c>
      <c r="BK63">
        <v>920</v>
      </c>
      <c r="BL63">
        <v>30053</v>
      </c>
      <c r="BM63">
        <v>119836</v>
      </c>
      <c r="BN63">
        <v>27</v>
      </c>
      <c r="BO63">
        <v>4786</v>
      </c>
      <c r="BP63">
        <v>21015</v>
      </c>
      <c r="BQ63">
        <v>11</v>
      </c>
      <c r="BR63">
        <v>97227</v>
      </c>
      <c r="BS63">
        <v>131603</v>
      </c>
      <c r="BT63">
        <v>163</v>
      </c>
      <c r="BU63">
        <v>61762</v>
      </c>
      <c r="BV63">
        <v>161564</v>
      </c>
      <c r="BW63">
        <v>1503</v>
      </c>
      <c r="BX63">
        <v>37419</v>
      </c>
      <c r="BY63">
        <v>84932</v>
      </c>
      <c r="BZ63">
        <v>192</v>
      </c>
      <c r="CA63">
        <v>5355</v>
      </c>
      <c r="CB63">
        <v>20410</v>
      </c>
      <c r="CC63">
        <v>29</v>
      </c>
      <c r="CD63">
        <v>2882</v>
      </c>
      <c r="CE63">
        <v>62752</v>
      </c>
      <c r="CF63">
        <v>1200</v>
      </c>
      <c r="CG63">
        <v>151826</v>
      </c>
      <c r="CH63">
        <v>494576</v>
      </c>
      <c r="CI63">
        <v>239</v>
      </c>
      <c r="CJ63">
        <v>2845</v>
      </c>
      <c r="CK63">
        <v>180120</v>
      </c>
      <c r="CL63">
        <v>65407</v>
      </c>
      <c r="CM63">
        <v>110341</v>
      </c>
      <c r="CN63">
        <v>34407</v>
      </c>
      <c r="CO63">
        <v>148335</v>
      </c>
      <c r="CP63">
        <v>243860</v>
      </c>
      <c r="CQ63">
        <v>7328</v>
      </c>
      <c r="CR63">
        <v>216316</v>
      </c>
      <c r="CS63">
        <v>196529</v>
      </c>
      <c r="CT63">
        <v>603291</v>
      </c>
      <c r="CU63">
        <v>70900</v>
      </c>
      <c r="CV63">
        <v>132831</v>
      </c>
      <c r="CW63">
        <v>11492</v>
      </c>
      <c r="CX63">
        <v>20514</v>
      </c>
      <c r="CY63">
        <v>49014</v>
      </c>
      <c r="CZ63">
        <v>1908</v>
      </c>
      <c r="DA63">
        <v>247083</v>
      </c>
      <c r="DB63">
        <v>767708</v>
      </c>
      <c r="DC63">
        <v>2051</v>
      </c>
      <c r="DD63">
        <v>114114</v>
      </c>
      <c r="DE63">
        <v>471987</v>
      </c>
      <c r="DF63">
        <v>244</v>
      </c>
      <c r="DG63">
        <v>10288</v>
      </c>
      <c r="DH63">
        <v>41596</v>
      </c>
      <c r="DI63">
        <v>2582</v>
      </c>
      <c r="DJ63">
        <v>3772</v>
      </c>
      <c r="DK63">
        <v>4110</v>
      </c>
      <c r="DL63">
        <v>10465</v>
      </c>
      <c r="DM63">
        <v>302710</v>
      </c>
      <c r="DN63">
        <v>4600</v>
      </c>
      <c r="DO63">
        <v>12077</v>
      </c>
      <c r="DP63">
        <v>18141</v>
      </c>
      <c r="DQ63">
        <v>30772</v>
      </c>
      <c r="DR63">
        <v>237120</v>
      </c>
      <c r="DS63">
        <v>1160517</v>
      </c>
      <c r="DT63">
        <v>1094364</v>
      </c>
      <c r="DU63">
        <v>4318</v>
      </c>
      <c r="DV63">
        <v>5942</v>
      </c>
      <c r="DW63">
        <v>7314</v>
      </c>
      <c r="DX63">
        <v>17573</v>
      </c>
      <c r="DY63">
        <v>709390</v>
      </c>
      <c r="DZ63">
        <v>8488</v>
      </c>
      <c r="EA63">
        <v>18314</v>
      </c>
      <c r="EB63">
        <v>24436</v>
      </c>
      <c r="EC63">
        <v>66234</v>
      </c>
      <c r="ED63">
        <v>591918</v>
      </c>
      <c r="EE63">
        <v>2637998</v>
      </c>
      <c r="EF63">
        <v>215753</v>
      </c>
      <c r="EG63">
        <v>1735</v>
      </c>
      <c r="EH63">
        <v>2169</v>
      </c>
      <c r="EI63">
        <v>3203</v>
      </c>
      <c r="EJ63">
        <v>7108</v>
      </c>
      <c r="EK63">
        <v>406679</v>
      </c>
      <c r="EL63">
        <v>3888</v>
      </c>
      <c r="EM63">
        <v>6237</v>
      </c>
      <c r="EN63">
        <v>6294</v>
      </c>
      <c r="EO63">
        <v>35461</v>
      </c>
      <c r="EP63">
        <v>354798</v>
      </c>
      <c r="EQ63">
        <v>1477481</v>
      </c>
      <c r="ER63">
        <v>213850</v>
      </c>
      <c r="ES63">
        <v>2102</v>
      </c>
      <c r="ET63">
        <v>49137</v>
      </c>
      <c r="EU63">
        <v>280878</v>
      </c>
      <c r="EV63">
        <v>426602</v>
      </c>
      <c r="EW63">
        <v>175748</v>
      </c>
    </row>
    <row r="64" spans="1:153" ht="18" x14ac:dyDescent="0.2">
      <c r="A64" t="s">
        <v>174</v>
      </c>
      <c r="B64" t="s">
        <v>201</v>
      </c>
      <c r="C64" t="s">
        <v>215</v>
      </c>
      <c r="D64" t="s">
        <v>228</v>
      </c>
      <c r="E64" t="s">
        <v>245</v>
      </c>
      <c r="G64">
        <v>1538</v>
      </c>
      <c r="I64" s="2">
        <v>1410</v>
      </c>
      <c r="K64">
        <v>99797</v>
      </c>
      <c r="M64">
        <v>96092</v>
      </c>
      <c r="N64">
        <v>101336</v>
      </c>
      <c r="O64">
        <v>425</v>
      </c>
      <c r="P64">
        <v>43820</v>
      </c>
      <c r="Q64">
        <v>44245</v>
      </c>
      <c r="R64">
        <v>157</v>
      </c>
      <c r="S64">
        <v>2848</v>
      </c>
      <c r="T64">
        <v>3005</v>
      </c>
      <c r="U64">
        <v>156</v>
      </c>
      <c r="V64">
        <v>15966</v>
      </c>
      <c r="W64">
        <v>16122</v>
      </c>
      <c r="X64">
        <v>267</v>
      </c>
      <c r="Y64">
        <v>35034</v>
      </c>
      <c r="Z64">
        <v>35301</v>
      </c>
      <c r="AA64">
        <v>153</v>
      </c>
      <c r="AB64">
        <v>29358</v>
      </c>
      <c r="AC64">
        <v>29511</v>
      </c>
      <c r="AD64">
        <v>270</v>
      </c>
      <c r="AE64">
        <v>8811</v>
      </c>
      <c r="AF64">
        <v>9081</v>
      </c>
      <c r="AG64">
        <v>99</v>
      </c>
      <c r="AH64">
        <v>233407</v>
      </c>
      <c r="AI64">
        <v>233506</v>
      </c>
      <c r="AJ64">
        <v>371</v>
      </c>
      <c r="AK64">
        <v>60896</v>
      </c>
      <c r="AL64">
        <v>61267</v>
      </c>
      <c r="AM64">
        <v>885</v>
      </c>
      <c r="AN64">
        <v>25268</v>
      </c>
      <c r="AO64">
        <v>26153</v>
      </c>
      <c r="AP64">
        <v>182</v>
      </c>
      <c r="AQ64">
        <v>22755</v>
      </c>
      <c r="AR64">
        <v>22937</v>
      </c>
      <c r="AS64">
        <v>72</v>
      </c>
      <c r="AT64">
        <v>6642</v>
      </c>
      <c r="AU64">
        <v>6715</v>
      </c>
      <c r="AV64">
        <v>1692</v>
      </c>
      <c r="AW64">
        <v>27604</v>
      </c>
      <c r="AX64">
        <v>29295</v>
      </c>
      <c r="AY64">
        <v>1505</v>
      </c>
      <c r="AZ64">
        <v>75235</v>
      </c>
      <c r="BA64">
        <v>76740</v>
      </c>
      <c r="BB64">
        <v>455</v>
      </c>
      <c r="BC64">
        <v>90936</v>
      </c>
      <c r="BD64">
        <v>91392</v>
      </c>
      <c r="BE64">
        <v>258</v>
      </c>
      <c r="BF64">
        <v>32779</v>
      </c>
      <c r="BG64">
        <v>33037</v>
      </c>
      <c r="BH64">
        <v>184</v>
      </c>
      <c r="BI64">
        <v>9331</v>
      </c>
      <c r="BJ64">
        <v>9515</v>
      </c>
      <c r="BK64">
        <v>490</v>
      </c>
      <c r="BL64">
        <v>55646</v>
      </c>
      <c r="BM64">
        <v>56136</v>
      </c>
      <c r="BN64">
        <v>74</v>
      </c>
      <c r="BO64">
        <v>14524</v>
      </c>
      <c r="BP64">
        <v>14598</v>
      </c>
      <c r="BQ64">
        <v>70</v>
      </c>
      <c r="BR64">
        <v>27841</v>
      </c>
      <c r="BS64">
        <v>27911</v>
      </c>
      <c r="BT64">
        <v>241</v>
      </c>
      <c r="BU64">
        <v>111796</v>
      </c>
      <c r="BV64">
        <v>112037</v>
      </c>
      <c r="BW64">
        <v>542</v>
      </c>
      <c r="BX64">
        <v>106672</v>
      </c>
      <c r="BY64">
        <v>107215</v>
      </c>
      <c r="BZ64">
        <v>125</v>
      </c>
      <c r="CA64">
        <v>45529</v>
      </c>
      <c r="CB64">
        <v>45654</v>
      </c>
      <c r="CC64">
        <v>23</v>
      </c>
      <c r="CD64">
        <v>31024</v>
      </c>
      <c r="CE64">
        <v>31046</v>
      </c>
      <c r="CF64">
        <v>471</v>
      </c>
      <c r="CG64">
        <v>145328</v>
      </c>
      <c r="CH64">
        <v>145799</v>
      </c>
      <c r="CI64">
        <v>58</v>
      </c>
      <c r="CJ64">
        <v>50893</v>
      </c>
      <c r="CK64">
        <v>50952</v>
      </c>
      <c r="CL64">
        <v>83054</v>
      </c>
      <c r="CM64">
        <v>106011</v>
      </c>
      <c r="CN64">
        <v>58890</v>
      </c>
      <c r="CO64">
        <v>223814</v>
      </c>
      <c r="CP64">
        <v>174644</v>
      </c>
      <c r="CQ64">
        <v>15456</v>
      </c>
      <c r="CR64">
        <v>140621</v>
      </c>
      <c r="CS64">
        <v>90324</v>
      </c>
      <c r="CT64">
        <v>414267</v>
      </c>
      <c r="CU64">
        <v>48728</v>
      </c>
      <c r="CV64">
        <v>105608</v>
      </c>
      <c r="CW64">
        <v>24499</v>
      </c>
      <c r="CX64">
        <v>32801</v>
      </c>
      <c r="CY64">
        <v>54331</v>
      </c>
      <c r="CZ64">
        <v>1083</v>
      </c>
      <c r="DA64">
        <v>318020</v>
      </c>
      <c r="DB64">
        <v>319103</v>
      </c>
      <c r="DC64">
        <v>548</v>
      </c>
      <c r="DD64">
        <v>149801</v>
      </c>
      <c r="DE64">
        <v>150349</v>
      </c>
      <c r="DF64">
        <v>272</v>
      </c>
      <c r="DG64">
        <v>66695</v>
      </c>
      <c r="DH64">
        <v>66967</v>
      </c>
      <c r="DI64">
        <v>1459</v>
      </c>
      <c r="DJ64">
        <v>2554</v>
      </c>
      <c r="DK64">
        <v>2225</v>
      </c>
      <c r="DL64">
        <v>6238</v>
      </c>
      <c r="DM64">
        <v>647248</v>
      </c>
      <c r="DN64">
        <v>3672</v>
      </c>
      <c r="DO64">
        <v>7338</v>
      </c>
      <c r="DP64">
        <v>19641</v>
      </c>
      <c r="DQ64">
        <v>81548</v>
      </c>
      <c r="DR64">
        <v>535050</v>
      </c>
      <c r="DS64">
        <v>653486</v>
      </c>
      <c r="DT64">
        <v>709395</v>
      </c>
      <c r="DU64">
        <v>2421</v>
      </c>
      <c r="DV64">
        <v>4611</v>
      </c>
      <c r="DW64">
        <v>3973</v>
      </c>
      <c r="DX64">
        <v>11006</v>
      </c>
      <c r="DY64">
        <v>1424543</v>
      </c>
      <c r="DZ64">
        <v>7319</v>
      </c>
      <c r="EA64">
        <v>13172</v>
      </c>
      <c r="EB64">
        <v>34210</v>
      </c>
      <c r="EC64">
        <v>139280</v>
      </c>
      <c r="ED64">
        <v>1230562</v>
      </c>
      <c r="EE64">
        <v>1435549</v>
      </c>
      <c r="EF64">
        <v>168205</v>
      </c>
      <c r="EG64">
        <v>962</v>
      </c>
      <c r="EH64">
        <v>2058</v>
      </c>
      <c r="EI64">
        <v>1748</v>
      </c>
      <c r="EJ64">
        <v>4768</v>
      </c>
      <c r="EK64">
        <v>777295</v>
      </c>
      <c r="EL64">
        <v>3647</v>
      </c>
      <c r="EM64">
        <v>5834</v>
      </c>
      <c r="EN64">
        <v>14570</v>
      </c>
      <c r="EO64">
        <v>57732</v>
      </c>
      <c r="EP64">
        <v>695512</v>
      </c>
      <c r="EQ64">
        <v>782062</v>
      </c>
      <c r="ER64">
        <v>217239</v>
      </c>
      <c r="ES64">
        <v>841</v>
      </c>
      <c r="ET64">
        <v>172369</v>
      </c>
      <c r="EU64">
        <v>173210</v>
      </c>
      <c r="EV64">
        <v>457349</v>
      </c>
      <c r="EW64">
        <v>189065</v>
      </c>
    </row>
    <row r="65" spans="1:153" ht="18" x14ac:dyDescent="0.2">
      <c r="A65" t="s">
        <v>175</v>
      </c>
      <c r="B65" t="s">
        <v>188</v>
      </c>
      <c r="C65" t="s">
        <v>216</v>
      </c>
      <c r="D65" t="s">
        <v>226</v>
      </c>
      <c r="E65" t="s">
        <v>245</v>
      </c>
      <c r="F65">
        <f>F60+G61+G62+G63+G64</f>
        <v>10668</v>
      </c>
      <c r="G65">
        <v>10669</v>
      </c>
      <c r="H65">
        <f>H60+I61+I62+I63+I64</f>
        <v>9380</v>
      </c>
      <c r="I65" s="2">
        <v>9380</v>
      </c>
      <c r="J65">
        <f>J60+K61+K62+K63+K64</f>
        <v>512551</v>
      </c>
      <c r="K65">
        <v>512551</v>
      </c>
      <c r="L65">
        <f>L60+M61+M62+M63+M64</f>
        <v>517759</v>
      </c>
      <c r="M65">
        <v>517759</v>
      </c>
      <c r="N65">
        <v>523220</v>
      </c>
      <c r="O65">
        <v>3196</v>
      </c>
      <c r="P65">
        <v>337767</v>
      </c>
      <c r="Q65">
        <v>340963</v>
      </c>
      <c r="R65">
        <v>2196</v>
      </c>
      <c r="S65">
        <v>14916</v>
      </c>
      <c r="T65">
        <v>17112</v>
      </c>
      <c r="U65">
        <v>1792</v>
      </c>
      <c r="V65">
        <v>65656</v>
      </c>
      <c r="W65">
        <v>67448</v>
      </c>
      <c r="X65">
        <v>3124</v>
      </c>
      <c r="Y65">
        <v>71248</v>
      </c>
      <c r="Z65">
        <v>74373</v>
      </c>
      <c r="AA65">
        <v>2401</v>
      </c>
      <c r="AB65">
        <v>107218</v>
      </c>
      <c r="AC65">
        <v>109619</v>
      </c>
      <c r="AD65">
        <v>2903</v>
      </c>
      <c r="AE65">
        <v>31767</v>
      </c>
      <c r="AF65">
        <v>34670</v>
      </c>
      <c r="AG65">
        <v>605</v>
      </c>
      <c r="AH65">
        <v>625204</v>
      </c>
      <c r="AI65">
        <v>625809</v>
      </c>
      <c r="AJ65">
        <v>4007</v>
      </c>
      <c r="AK65">
        <v>306529</v>
      </c>
      <c r="AL65">
        <v>310536</v>
      </c>
      <c r="AM65">
        <v>7150</v>
      </c>
      <c r="AN65">
        <v>151988</v>
      </c>
      <c r="AO65">
        <v>159138</v>
      </c>
      <c r="AP65">
        <v>3306</v>
      </c>
      <c r="AQ65">
        <v>123853</v>
      </c>
      <c r="AR65">
        <v>127159</v>
      </c>
      <c r="AS65">
        <v>866</v>
      </c>
      <c r="AT65">
        <v>14206</v>
      </c>
      <c r="AU65">
        <v>15072</v>
      </c>
      <c r="AV65">
        <v>18900</v>
      </c>
      <c r="AW65">
        <v>153310</v>
      </c>
      <c r="AX65">
        <v>172211</v>
      </c>
      <c r="AY65">
        <v>12624</v>
      </c>
      <c r="AZ65">
        <v>360818</v>
      </c>
      <c r="BA65">
        <v>373442</v>
      </c>
      <c r="BB65">
        <v>6618</v>
      </c>
      <c r="BC65">
        <v>607213</v>
      </c>
      <c r="BD65">
        <v>613830</v>
      </c>
      <c r="BE65">
        <v>3490</v>
      </c>
      <c r="BF65">
        <v>179788</v>
      </c>
      <c r="BG65">
        <v>183278</v>
      </c>
      <c r="BH65">
        <v>2715</v>
      </c>
      <c r="BI65">
        <v>48042</v>
      </c>
      <c r="BJ65">
        <v>50756</v>
      </c>
      <c r="BK65">
        <v>4309</v>
      </c>
      <c r="BL65">
        <v>311594</v>
      </c>
      <c r="BM65">
        <v>315904</v>
      </c>
      <c r="BN65">
        <v>950</v>
      </c>
      <c r="BO65">
        <v>76096</v>
      </c>
      <c r="BP65">
        <v>77046</v>
      </c>
      <c r="BQ65">
        <v>552</v>
      </c>
      <c r="BR65">
        <v>343082</v>
      </c>
      <c r="BS65">
        <v>343634</v>
      </c>
      <c r="BT65">
        <v>2414</v>
      </c>
      <c r="BU65">
        <v>424945</v>
      </c>
      <c r="BV65">
        <v>427359</v>
      </c>
      <c r="BW65">
        <v>5440</v>
      </c>
      <c r="BX65">
        <v>463640</v>
      </c>
      <c r="BY65">
        <v>469080</v>
      </c>
      <c r="BZ65">
        <v>1641</v>
      </c>
      <c r="CA65">
        <v>91002</v>
      </c>
      <c r="CB65">
        <v>92643</v>
      </c>
      <c r="CC65">
        <v>537</v>
      </c>
      <c r="CD65">
        <v>192816</v>
      </c>
      <c r="CE65">
        <v>193353</v>
      </c>
      <c r="CF65">
        <v>3891</v>
      </c>
      <c r="CG65">
        <v>1110733</v>
      </c>
      <c r="CH65">
        <v>1114624</v>
      </c>
      <c r="CI65">
        <v>1455</v>
      </c>
      <c r="CJ65">
        <v>501087</v>
      </c>
      <c r="CK65">
        <v>502542</v>
      </c>
      <c r="CL65">
        <v>608485</v>
      </c>
      <c r="CM65">
        <v>612578</v>
      </c>
      <c r="CN65">
        <v>163238</v>
      </c>
      <c r="CO65">
        <v>729349</v>
      </c>
      <c r="CP65">
        <v>833839</v>
      </c>
      <c r="CQ65">
        <v>51606</v>
      </c>
      <c r="CR65">
        <v>724794</v>
      </c>
      <c r="CS65">
        <v>409543</v>
      </c>
      <c r="CT65">
        <v>1305016</v>
      </c>
      <c r="CU65">
        <v>352323</v>
      </c>
      <c r="CV65">
        <v>574830</v>
      </c>
      <c r="CW65">
        <v>116048</v>
      </c>
      <c r="CX65">
        <v>119427</v>
      </c>
      <c r="CY65">
        <v>299862</v>
      </c>
      <c r="CZ65">
        <v>10312</v>
      </c>
      <c r="DA65">
        <v>1842207</v>
      </c>
      <c r="DB65">
        <v>1852520</v>
      </c>
      <c r="DC65">
        <v>7706</v>
      </c>
      <c r="DD65">
        <v>1143111</v>
      </c>
      <c r="DE65">
        <v>1150817</v>
      </c>
      <c r="DF65">
        <v>3456</v>
      </c>
      <c r="DG65">
        <v>181305</v>
      </c>
      <c r="DH65">
        <v>184761</v>
      </c>
      <c r="DI65">
        <v>16164</v>
      </c>
      <c r="DJ65">
        <v>27005</v>
      </c>
      <c r="DK65">
        <v>25547</v>
      </c>
      <c r="DL65">
        <v>68716</v>
      </c>
      <c r="DM65">
        <v>3675055</v>
      </c>
      <c r="DN65">
        <v>30835</v>
      </c>
      <c r="DO65">
        <v>66352</v>
      </c>
      <c r="DP65">
        <v>125268</v>
      </c>
      <c r="DQ65">
        <v>420317</v>
      </c>
      <c r="DR65">
        <v>3032283</v>
      </c>
      <c r="DS65">
        <v>3743771</v>
      </c>
      <c r="DT65">
        <v>2843281</v>
      </c>
      <c r="DU65">
        <v>25283</v>
      </c>
      <c r="DV65">
        <v>43236</v>
      </c>
      <c r="DW65">
        <v>41420</v>
      </c>
      <c r="DX65">
        <v>109940</v>
      </c>
      <c r="DY65">
        <v>7364330</v>
      </c>
      <c r="DZ65">
        <v>53799</v>
      </c>
      <c r="EA65">
        <v>108033</v>
      </c>
      <c r="EB65">
        <v>216423</v>
      </c>
      <c r="EC65">
        <v>710450</v>
      </c>
      <c r="ED65">
        <v>6275626</v>
      </c>
      <c r="EE65">
        <v>7474270</v>
      </c>
      <c r="EF65">
        <v>554928</v>
      </c>
      <c r="EG65">
        <v>9119</v>
      </c>
      <c r="EH65">
        <v>16231</v>
      </c>
      <c r="EI65">
        <v>15873</v>
      </c>
      <c r="EJ65">
        <v>41223</v>
      </c>
      <c r="EK65">
        <v>3689275</v>
      </c>
      <c r="EL65">
        <v>22963</v>
      </c>
      <c r="EM65">
        <v>41681</v>
      </c>
      <c r="EN65">
        <v>91155</v>
      </c>
      <c r="EO65">
        <v>290133</v>
      </c>
      <c r="EP65">
        <v>3243343</v>
      </c>
      <c r="EQ65">
        <v>3730499</v>
      </c>
      <c r="ER65">
        <v>1110168</v>
      </c>
      <c r="ES65">
        <v>9085</v>
      </c>
      <c r="ET65">
        <v>1101986</v>
      </c>
      <c r="EU65">
        <v>1111071</v>
      </c>
      <c r="EV65">
        <v>1726426</v>
      </c>
      <c r="EW65">
        <v>1221063</v>
      </c>
    </row>
    <row r="66" spans="1:153" ht="18" x14ac:dyDescent="0.2">
      <c r="A66" t="s">
        <v>176</v>
      </c>
      <c r="B66" t="s">
        <v>189</v>
      </c>
      <c r="C66" t="s">
        <v>217</v>
      </c>
      <c r="D66" t="s">
        <v>229</v>
      </c>
      <c r="E66" t="s">
        <v>245</v>
      </c>
      <c r="G66">
        <v>-1931</v>
      </c>
      <c r="I66" s="2">
        <v>-2445</v>
      </c>
      <c r="K66">
        <v>206521</v>
      </c>
      <c r="M66">
        <v>206514</v>
      </c>
      <c r="N66">
        <v>101185</v>
      </c>
      <c r="O66">
        <v>-247</v>
      </c>
      <c r="P66">
        <v>276909</v>
      </c>
      <c r="Q66">
        <v>71260</v>
      </c>
      <c r="R66">
        <v>534</v>
      </c>
      <c r="S66">
        <v>10200</v>
      </c>
      <c r="T66">
        <v>8038</v>
      </c>
      <c r="U66">
        <v>164</v>
      </c>
      <c r="V66">
        <v>40116</v>
      </c>
      <c r="W66">
        <v>17973</v>
      </c>
      <c r="X66">
        <v>1417</v>
      </c>
      <c r="Y66">
        <v>22066</v>
      </c>
      <c r="Z66">
        <v>22175</v>
      </c>
      <c r="AA66">
        <v>-217</v>
      </c>
      <c r="AB66">
        <v>53114</v>
      </c>
      <c r="AC66">
        <v>40203</v>
      </c>
      <c r="AD66">
        <v>1288</v>
      </c>
      <c r="AE66">
        <v>19017</v>
      </c>
      <c r="AF66">
        <v>18139</v>
      </c>
      <c r="AG66">
        <v>1095</v>
      </c>
      <c r="AH66">
        <v>258425</v>
      </c>
      <c r="AI66">
        <v>-194284</v>
      </c>
      <c r="AJ66">
        <v>1042</v>
      </c>
      <c r="AK66">
        <v>227543</v>
      </c>
      <c r="AL66">
        <v>-35413</v>
      </c>
      <c r="AM66">
        <v>2528</v>
      </c>
      <c r="AN66">
        <v>79057</v>
      </c>
      <c r="AO66">
        <v>51181</v>
      </c>
      <c r="AP66">
        <v>-1386</v>
      </c>
      <c r="AQ66">
        <v>92987</v>
      </c>
      <c r="AR66">
        <v>64868</v>
      </c>
      <c r="AS66">
        <v>474</v>
      </c>
      <c r="AT66">
        <v>31232</v>
      </c>
      <c r="AU66">
        <v>31609</v>
      </c>
      <c r="AV66">
        <v>1397</v>
      </c>
      <c r="AW66">
        <v>42298</v>
      </c>
      <c r="AX66">
        <v>-39292</v>
      </c>
      <c r="AY66">
        <v>-275</v>
      </c>
      <c r="AZ66">
        <v>213378</v>
      </c>
      <c r="BA66">
        <v>-38853</v>
      </c>
      <c r="BB66">
        <v>12362</v>
      </c>
      <c r="BC66">
        <v>661770</v>
      </c>
      <c r="BD66">
        <v>494802</v>
      </c>
      <c r="BE66">
        <v>2917</v>
      </c>
      <c r="BF66">
        <v>125918</v>
      </c>
      <c r="BG66">
        <v>-10096</v>
      </c>
      <c r="BH66">
        <v>-233</v>
      </c>
      <c r="BI66">
        <v>10444</v>
      </c>
      <c r="BJ66">
        <v>985</v>
      </c>
      <c r="BK66">
        <v>7414</v>
      </c>
      <c r="BL66">
        <v>317792</v>
      </c>
      <c r="BM66">
        <v>176303</v>
      </c>
      <c r="BN66">
        <v>-1325</v>
      </c>
      <c r="BO66">
        <v>47565</v>
      </c>
      <c r="BP66">
        <v>26084</v>
      </c>
      <c r="BQ66">
        <v>1310</v>
      </c>
      <c r="BR66">
        <v>174557</v>
      </c>
      <c r="BS66">
        <v>147869</v>
      </c>
      <c r="BT66">
        <v>-161</v>
      </c>
      <c r="BU66">
        <v>194159</v>
      </c>
      <c r="BV66">
        <v>142175</v>
      </c>
      <c r="BW66">
        <v>2852</v>
      </c>
      <c r="BX66">
        <v>248138</v>
      </c>
      <c r="BY66">
        <v>196469</v>
      </c>
      <c r="BZ66">
        <v>142</v>
      </c>
      <c r="CA66">
        <v>68085</v>
      </c>
      <c r="CB66">
        <v>61094</v>
      </c>
      <c r="CC66">
        <v>684</v>
      </c>
      <c r="CD66">
        <v>184966</v>
      </c>
      <c r="CE66">
        <v>175688</v>
      </c>
      <c r="CF66">
        <v>9234</v>
      </c>
      <c r="CG66">
        <v>685938</v>
      </c>
      <c r="CH66">
        <v>301549</v>
      </c>
      <c r="CI66">
        <v>894</v>
      </c>
      <c r="CJ66">
        <v>117950</v>
      </c>
      <c r="CK66">
        <v>-21325</v>
      </c>
      <c r="CL66">
        <v>146184</v>
      </c>
      <c r="CM66">
        <v>49371</v>
      </c>
      <c r="CN66">
        <v>4686</v>
      </c>
      <c r="CO66">
        <v>140791</v>
      </c>
      <c r="CP66">
        <v>4778</v>
      </c>
      <c r="CQ66">
        <v>31534</v>
      </c>
      <c r="CR66">
        <v>480060</v>
      </c>
      <c r="CS66">
        <v>245271</v>
      </c>
      <c r="CT66">
        <v>302681</v>
      </c>
      <c r="CU66">
        <v>268718</v>
      </c>
      <c r="CV66">
        <v>389136</v>
      </c>
      <c r="CW66">
        <v>89578</v>
      </c>
      <c r="CX66">
        <v>455178</v>
      </c>
      <c r="CY66">
        <v>131028</v>
      </c>
      <c r="CZ66">
        <v>10116</v>
      </c>
      <c r="DA66">
        <v>1107639</v>
      </c>
      <c r="DB66">
        <v>408311</v>
      </c>
      <c r="DC66">
        <v>14356</v>
      </c>
      <c r="DD66">
        <v>1021293</v>
      </c>
      <c r="DE66">
        <v>818359</v>
      </c>
      <c r="DF66">
        <v>-708</v>
      </c>
      <c r="DG66">
        <v>146882</v>
      </c>
      <c r="DH66">
        <v>118787</v>
      </c>
      <c r="DI66">
        <v>5742</v>
      </c>
      <c r="DJ66">
        <v>15761</v>
      </c>
      <c r="DK66">
        <v>7273</v>
      </c>
      <c r="DL66">
        <v>28777</v>
      </c>
      <c r="DM66">
        <v>2385605</v>
      </c>
      <c r="DN66">
        <v>23641</v>
      </c>
      <c r="DO66">
        <v>47408</v>
      </c>
      <c r="DP66">
        <v>102379</v>
      </c>
      <c r="DQ66">
        <v>391015</v>
      </c>
      <c r="DR66">
        <v>1821163</v>
      </c>
      <c r="DS66">
        <v>1284684</v>
      </c>
      <c r="DT66">
        <v>1328264</v>
      </c>
      <c r="DU66">
        <v>11740</v>
      </c>
      <c r="DV66">
        <v>17427</v>
      </c>
      <c r="DW66">
        <v>12940</v>
      </c>
      <c r="DX66">
        <v>42107</v>
      </c>
      <c r="DY66">
        <v>4436604</v>
      </c>
      <c r="DZ66">
        <v>38960</v>
      </c>
      <c r="EA66">
        <v>74448</v>
      </c>
      <c r="EB66">
        <v>184637</v>
      </c>
      <c r="EC66">
        <v>592765</v>
      </c>
      <c r="ED66">
        <v>3545793</v>
      </c>
      <c r="EE66">
        <v>1806691</v>
      </c>
      <c r="EF66">
        <v>383277</v>
      </c>
      <c r="EG66">
        <v>5998</v>
      </c>
      <c r="EH66">
        <v>1666</v>
      </c>
      <c r="EI66">
        <v>5666</v>
      </c>
      <c r="EJ66">
        <v>13330</v>
      </c>
      <c r="EK66">
        <v>2050999</v>
      </c>
      <c r="EL66">
        <v>15319</v>
      </c>
      <c r="EM66">
        <v>27040</v>
      </c>
      <c r="EN66">
        <v>82259</v>
      </c>
      <c r="EO66">
        <v>201750</v>
      </c>
      <c r="EP66">
        <v>1724631</v>
      </c>
      <c r="EQ66">
        <v>522007</v>
      </c>
      <c r="ER66">
        <v>1064919</v>
      </c>
      <c r="ES66">
        <v>3878</v>
      </c>
      <c r="ET66">
        <v>392549</v>
      </c>
      <c r="EU66">
        <v>171448</v>
      </c>
      <c r="EV66">
        <v>150255</v>
      </c>
      <c r="EW66">
        <v>195555</v>
      </c>
    </row>
    <row r="67" spans="1:153" ht="18" x14ac:dyDescent="0.2">
      <c r="A67" t="s">
        <v>177</v>
      </c>
      <c r="B67" t="s">
        <v>190</v>
      </c>
      <c r="C67" t="s">
        <v>225</v>
      </c>
      <c r="D67" t="s">
        <v>229</v>
      </c>
      <c r="E67" t="s">
        <v>245</v>
      </c>
      <c r="F67" t="b">
        <f>(G67=G24)</f>
        <v>1</v>
      </c>
      <c r="G67">
        <v>15402</v>
      </c>
      <c r="H67" t="b">
        <f>(I67=I24)</f>
        <v>1</v>
      </c>
      <c r="I67" s="2">
        <v>15865</v>
      </c>
      <c r="J67" t="b">
        <f>(K67=K24)</f>
        <v>1</v>
      </c>
      <c r="K67">
        <v>348003</v>
      </c>
      <c r="L67" t="b">
        <f>(M67=M24)</f>
        <v>1</v>
      </c>
      <c r="M67">
        <v>333904</v>
      </c>
      <c r="N67">
        <v>363405</v>
      </c>
      <c r="O67">
        <v>2128</v>
      </c>
      <c r="P67">
        <v>331193</v>
      </c>
      <c r="Q67">
        <v>333321</v>
      </c>
      <c r="R67">
        <v>1198</v>
      </c>
      <c r="S67">
        <v>15836</v>
      </c>
      <c r="T67">
        <v>17034</v>
      </c>
      <c r="U67">
        <v>770</v>
      </c>
      <c r="V67">
        <v>23683</v>
      </c>
      <c r="W67">
        <v>24453</v>
      </c>
      <c r="X67">
        <v>5381</v>
      </c>
      <c r="Y67">
        <v>40807</v>
      </c>
      <c r="Z67">
        <v>46187</v>
      </c>
      <c r="AA67">
        <v>5555</v>
      </c>
      <c r="AB67">
        <v>37347</v>
      </c>
      <c r="AC67">
        <v>42902</v>
      </c>
      <c r="AD67">
        <v>2293</v>
      </c>
      <c r="AE67">
        <v>-6881</v>
      </c>
      <c r="AF67">
        <v>-4588</v>
      </c>
      <c r="AG67">
        <v>64</v>
      </c>
      <c r="AH67">
        <v>881555</v>
      </c>
      <c r="AI67">
        <v>881619</v>
      </c>
      <c r="AJ67">
        <v>4638</v>
      </c>
      <c r="AK67">
        <v>282582</v>
      </c>
      <c r="AL67">
        <v>287220</v>
      </c>
      <c r="AM67">
        <v>7650</v>
      </c>
      <c r="AN67">
        <v>79056</v>
      </c>
      <c r="AO67">
        <v>86706</v>
      </c>
      <c r="AP67">
        <v>7589</v>
      </c>
      <c r="AQ67">
        <v>58051</v>
      </c>
      <c r="AR67">
        <v>65640</v>
      </c>
      <c r="AS67">
        <v>1093</v>
      </c>
      <c r="AT67">
        <v>537</v>
      </c>
      <c r="AU67">
        <v>1629</v>
      </c>
      <c r="AV67">
        <v>32371</v>
      </c>
      <c r="AW67">
        <v>164350</v>
      </c>
      <c r="AX67">
        <v>196721</v>
      </c>
      <c r="AY67">
        <v>17012</v>
      </c>
      <c r="AZ67">
        <v>357448</v>
      </c>
      <c r="BA67">
        <v>374459</v>
      </c>
      <c r="BB67">
        <v>-4955</v>
      </c>
      <c r="BC67">
        <v>426887</v>
      </c>
      <c r="BD67">
        <v>421932</v>
      </c>
      <c r="BE67">
        <v>1635</v>
      </c>
      <c r="BF67">
        <v>187827</v>
      </c>
      <c r="BG67">
        <v>189462</v>
      </c>
      <c r="BH67">
        <v>2550</v>
      </c>
      <c r="BI67">
        <v>15534</v>
      </c>
      <c r="BJ67">
        <v>18084</v>
      </c>
      <c r="BK67">
        <v>-1688</v>
      </c>
      <c r="BL67">
        <v>255192</v>
      </c>
      <c r="BM67">
        <v>253504</v>
      </c>
      <c r="BN67">
        <v>3296</v>
      </c>
      <c r="BO67">
        <v>75398</v>
      </c>
      <c r="BP67">
        <v>78694</v>
      </c>
      <c r="BQ67">
        <v>-238</v>
      </c>
      <c r="BR67">
        <v>-12763</v>
      </c>
      <c r="BS67">
        <v>-13001</v>
      </c>
      <c r="BT67">
        <v>2513</v>
      </c>
      <c r="BU67">
        <v>82940</v>
      </c>
      <c r="BV67">
        <v>85453</v>
      </c>
      <c r="BW67">
        <v>603</v>
      </c>
      <c r="BX67">
        <v>226446</v>
      </c>
      <c r="BY67">
        <v>227048</v>
      </c>
      <c r="BZ67">
        <v>1869</v>
      </c>
      <c r="CA67">
        <v>35453</v>
      </c>
      <c r="CB67">
        <v>37321</v>
      </c>
      <c r="CC67">
        <v>370</v>
      </c>
      <c r="CD67">
        <v>-54170</v>
      </c>
      <c r="CE67">
        <v>-53800</v>
      </c>
      <c r="CF67">
        <v>-8400</v>
      </c>
      <c r="CG67">
        <v>386475</v>
      </c>
      <c r="CH67">
        <v>378075</v>
      </c>
      <c r="CI67">
        <v>1410</v>
      </c>
      <c r="CJ67">
        <v>156303</v>
      </c>
      <c r="CK67">
        <v>157713</v>
      </c>
      <c r="CL67">
        <v>293368</v>
      </c>
      <c r="CM67">
        <v>209217</v>
      </c>
      <c r="CN67">
        <v>89016</v>
      </c>
      <c r="CO67">
        <v>357174</v>
      </c>
      <c r="CP67">
        <v>371824</v>
      </c>
      <c r="CQ67">
        <v>-11004</v>
      </c>
      <c r="CR67">
        <v>250718</v>
      </c>
      <c r="CS67">
        <v>161771</v>
      </c>
      <c r="CT67">
        <v>149073</v>
      </c>
      <c r="CU67">
        <v>203128</v>
      </c>
      <c r="CV67">
        <v>39905</v>
      </c>
      <c r="CW67">
        <v>22992</v>
      </c>
      <c r="CX67">
        <v>-322557</v>
      </c>
      <c r="CY67">
        <v>-9209</v>
      </c>
      <c r="CZ67">
        <v>-1250</v>
      </c>
      <c r="DA67">
        <v>751997</v>
      </c>
      <c r="DB67">
        <v>750747</v>
      </c>
      <c r="DC67">
        <v>-4824</v>
      </c>
      <c r="DD67">
        <v>359955</v>
      </c>
      <c r="DE67">
        <v>355131</v>
      </c>
      <c r="DF67">
        <v>6257</v>
      </c>
      <c r="DG67">
        <v>111387</v>
      </c>
      <c r="DH67">
        <v>117644</v>
      </c>
      <c r="DI67">
        <v>22164</v>
      </c>
      <c r="DJ67">
        <v>23288</v>
      </c>
      <c r="DK67">
        <v>24969</v>
      </c>
      <c r="DL67">
        <v>70421</v>
      </c>
      <c r="DM67">
        <v>1989578</v>
      </c>
      <c r="DN67">
        <v>20162</v>
      </c>
      <c r="DO67">
        <v>17320</v>
      </c>
      <c r="DP67">
        <v>21278</v>
      </c>
      <c r="DQ67">
        <v>129654</v>
      </c>
      <c r="DR67">
        <v>1801163</v>
      </c>
      <c r="DS67">
        <v>2059999</v>
      </c>
      <c r="DT67">
        <v>753687</v>
      </c>
      <c r="DU67">
        <v>27356</v>
      </c>
      <c r="DV67">
        <v>41496</v>
      </c>
      <c r="DW67">
        <v>35379</v>
      </c>
      <c r="DX67">
        <v>104231</v>
      </c>
      <c r="DY67">
        <v>4451367</v>
      </c>
      <c r="DZ67">
        <v>31195</v>
      </c>
      <c r="EA67">
        <v>28077</v>
      </c>
      <c r="EB67">
        <v>53998</v>
      </c>
      <c r="EC67">
        <v>242095</v>
      </c>
      <c r="ED67">
        <v>4096002</v>
      </c>
      <c r="EE67">
        <v>4555598</v>
      </c>
      <c r="EF67">
        <v>212126</v>
      </c>
      <c r="EG67">
        <v>5191</v>
      </c>
      <c r="EH67">
        <v>18209</v>
      </c>
      <c r="EI67">
        <v>10410</v>
      </c>
      <c r="EJ67">
        <v>33810</v>
      </c>
      <c r="EK67">
        <v>2461789</v>
      </c>
      <c r="EL67">
        <v>11033</v>
      </c>
      <c r="EM67">
        <v>10757</v>
      </c>
      <c r="EN67">
        <v>32719</v>
      </c>
      <c r="EO67">
        <v>112441</v>
      </c>
      <c r="EP67">
        <v>2294839</v>
      </c>
      <c r="EQ67">
        <v>2495599</v>
      </c>
      <c r="ER67">
        <v>-268869</v>
      </c>
      <c r="ES67">
        <v>4138</v>
      </c>
      <c r="ET67">
        <v>439028</v>
      </c>
      <c r="EU67">
        <v>443166</v>
      </c>
      <c r="EV67">
        <v>818014</v>
      </c>
      <c r="EW67">
        <v>502585</v>
      </c>
    </row>
    <row r="68" spans="1:153" ht="18" x14ac:dyDescent="0.2">
      <c r="A68" t="s">
        <v>178</v>
      </c>
      <c r="B68" t="s">
        <v>191</v>
      </c>
      <c r="C68" t="s">
        <v>221</v>
      </c>
      <c r="D68" t="s">
        <v>229</v>
      </c>
      <c r="E68" t="s">
        <v>245</v>
      </c>
      <c r="G68">
        <v>0</v>
      </c>
      <c r="I68" s="2">
        <v>0</v>
      </c>
      <c r="K68">
        <v>-20636</v>
      </c>
      <c r="M68">
        <v>-20822</v>
      </c>
      <c r="N68">
        <v>0</v>
      </c>
      <c r="O68">
        <v>0</v>
      </c>
      <c r="P68">
        <v>-32588</v>
      </c>
      <c r="Q68">
        <v>0</v>
      </c>
      <c r="R68">
        <v>0</v>
      </c>
      <c r="S68">
        <v>-1688</v>
      </c>
      <c r="T68">
        <v>0</v>
      </c>
      <c r="U68">
        <v>0</v>
      </c>
      <c r="V68">
        <v>-1476</v>
      </c>
      <c r="W68">
        <v>0</v>
      </c>
      <c r="X68">
        <v>0</v>
      </c>
      <c r="Y68">
        <v>-100</v>
      </c>
      <c r="Z68">
        <v>0</v>
      </c>
      <c r="AA68">
        <v>0</v>
      </c>
      <c r="AB68">
        <v>-2735</v>
      </c>
      <c r="AC68">
        <v>0</v>
      </c>
      <c r="AD68">
        <v>0</v>
      </c>
      <c r="AE68">
        <v>-258</v>
      </c>
      <c r="AF68">
        <v>0</v>
      </c>
      <c r="AG68">
        <v>0</v>
      </c>
      <c r="AH68">
        <v>-20180</v>
      </c>
      <c r="AI68">
        <v>0</v>
      </c>
      <c r="AJ68">
        <v>0</v>
      </c>
      <c r="AK68">
        <v>-30525</v>
      </c>
      <c r="AL68">
        <v>0</v>
      </c>
      <c r="AM68">
        <v>0</v>
      </c>
      <c r="AN68">
        <v>-5103</v>
      </c>
      <c r="AO68">
        <v>0</v>
      </c>
      <c r="AP68">
        <v>0</v>
      </c>
      <c r="AQ68">
        <v>2664</v>
      </c>
      <c r="AR68">
        <v>0</v>
      </c>
      <c r="AS68">
        <v>0</v>
      </c>
      <c r="AT68">
        <v>-185</v>
      </c>
      <c r="AU68">
        <v>0</v>
      </c>
      <c r="AV68">
        <v>0</v>
      </c>
      <c r="AW68">
        <v>-7601</v>
      </c>
      <c r="AX68">
        <v>0</v>
      </c>
      <c r="AY68">
        <v>0</v>
      </c>
      <c r="AZ68">
        <v>-14686</v>
      </c>
      <c r="BA68">
        <v>0</v>
      </c>
      <c r="BB68">
        <v>0</v>
      </c>
      <c r="BC68">
        <v>-15537</v>
      </c>
      <c r="BD68">
        <v>0</v>
      </c>
      <c r="BE68">
        <v>0</v>
      </c>
      <c r="BF68">
        <v>-6673</v>
      </c>
      <c r="BG68">
        <v>0</v>
      </c>
      <c r="BH68">
        <v>0</v>
      </c>
      <c r="BI68">
        <v>-237</v>
      </c>
      <c r="BJ68">
        <v>0</v>
      </c>
      <c r="BK68">
        <v>0</v>
      </c>
      <c r="BL68">
        <v>-22196</v>
      </c>
      <c r="BM68">
        <v>0</v>
      </c>
      <c r="BN68">
        <v>0</v>
      </c>
      <c r="BO68">
        <v>-146</v>
      </c>
      <c r="BP68">
        <v>0</v>
      </c>
      <c r="BQ68">
        <v>0</v>
      </c>
      <c r="BR68">
        <v>-4897</v>
      </c>
      <c r="BS68">
        <v>0</v>
      </c>
      <c r="BT68">
        <v>0</v>
      </c>
      <c r="BU68">
        <v>-10157</v>
      </c>
      <c r="BV68">
        <v>0</v>
      </c>
      <c r="BW68">
        <v>0</v>
      </c>
      <c r="BX68">
        <v>-16556</v>
      </c>
      <c r="BY68">
        <v>0</v>
      </c>
      <c r="BZ68">
        <v>0</v>
      </c>
      <c r="CA68">
        <v>-4525</v>
      </c>
      <c r="CB68">
        <v>0</v>
      </c>
      <c r="CC68">
        <v>0</v>
      </c>
      <c r="CD68">
        <v>-2349</v>
      </c>
      <c r="CE68">
        <v>0</v>
      </c>
      <c r="CF68">
        <v>0</v>
      </c>
      <c r="CG68">
        <v>-30363</v>
      </c>
      <c r="CH68">
        <v>0</v>
      </c>
      <c r="CI68">
        <v>0</v>
      </c>
      <c r="CJ68">
        <v>-6280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-71044</v>
      </c>
      <c r="DB68">
        <v>0</v>
      </c>
      <c r="DC68">
        <v>0</v>
      </c>
      <c r="DD68">
        <v>-22783</v>
      </c>
      <c r="DE68">
        <v>0</v>
      </c>
      <c r="DF68">
        <v>0</v>
      </c>
      <c r="DG68">
        <v>-4856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-98644</v>
      </c>
      <c r="DN68">
        <v>-160</v>
      </c>
      <c r="DO68">
        <v>-325</v>
      </c>
      <c r="DP68">
        <v>-340</v>
      </c>
      <c r="DQ68">
        <v>-10770</v>
      </c>
      <c r="DR68">
        <v>-87049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-254352</v>
      </c>
      <c r="DZ68">
        <v>-262</v>
      </c>
      <c r="EA68">
        <v>-247</v>
      </c>
      <c r="EB68">
        <v>-2173</v>
      </c>
      <c r="EC68">
        <v>-19778</v>
      </c>
      <c r="ED68">
        <v>-231891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-155708</v>
      </c>
      <c r="EL68">
        <v>-102</v>
      </c>
      <c r="EM68">
        <v>77</v>
      </c>
      <c r="EN68">
        <v>-1833</v>
      </c>
      <c r="EO68">
        <v>-9008</v>
      </c>
      <c r="EP68">
        <v>-144842</v>
      </c>
      <c r="EQ68">
        <v>0</v>
      </c>
      <c r="ER68">
        <v>0</v>
      </c>
      <c r="ES68">
        <v>0</v>
      </c>
      <c r="ET68">
        <v>-22177</v>
      </c>
      <c r="EU68">
        <v>0</v>
      </c>
      <c r="EV68">
        <v>0</v>
      </c>
      <c r="EW68">
        <v>0</v>
      </c>
    </row>
    <row r="69" spans="1:153" ht="18" x14ac:dyDescent="0.2">
      <c r="A69" t="s">
        <v>179</v>
      </c>
      <c r="B69" t="s">
        <v>202</v>
      </c>
      <c r="C69" t="s">
        <v>221</v>
      </c>
      <c r="D69" t="s">
        <v>229</v>
      </c>
      <c r="E69" t="s">
        <v>245</v>
      </c>
      <c r="G69">
        <v>0</v>
      </c>
      <c r="I69" s="2">
        <v>0</v>
      </c>
      <c r="K69">
        <v>-9733</v>
      </c>
      <c r="M69">
        <v>-9214</v>
      </c>
      <c r="N69">
        <v>0</v>
      </c>
      <c r="O69">
        <v>0</v>
      </c>
      <c r="P69">
        <v>-15630</v>
      </c>
      <c r="Q69">
        <v>0</v>
      </c>
      <c r="R69">
        <v>0</v>
      </c>
      <c r="S69">
        <v>-357</v>
      </c>
      <c r="T69">
        <v>0</v>
      </c>
      <c r="U69">
        <v>0</v>
      </c>
      <c r="V69">
        <v>53</v>
      </c>
      <c r="W69">
        <v>0</v>
      </c>
      <c r="X69">
        <v>0</v>
      </c>
      <c r="Y69">
        <v>1468</v>
      </c>
      <c r="Z69">
        <v>0</v>
      </c>
      <c r="AA69">
        <v>0</v>
      </c>
      <c r="AB69">
        <v>4821</v>
      </c>
      <c r="AC69">
        <v>0</v>
      </c>
      <c r="AD69">
        <v>0</v>
      </c>
      <c r="AE69">
        <v>-881</v>
      </c>
      <c r="AF69">
        <v>0</v>
      </c>
      <c r="AG69">
        <v>0</v>
      </c>
      <c r="AH69">
        <v>-1263</v>
      </c>
      <c r="AI69">
        <v>0</v>
      </c>
      <c r="AJ69">
        <v>0</v>
      </c>
      <c r="AK69">
        <v>-5137</v>
      </c>
      <c r="AL69">
        <v>0</v>
      </c>
      <c r="AM69">
        <v>0</v>
      </c>
      <c r="AN69">
        <v>-10990</v>
      </c>
      <c r="AO69">
        <v>0</v>
      </c>
      <c r="AP69">
        <v>0</v>
      </c>
      <c r="AQ69">
        <v>-3614</v>
      </c>
      <c r="AR69">
        <v>0</v>
      </c>
      <c r="AS69">
        <v>0</v>
      </c>
      <c r="AT69">
        <v>332</v>
      </c>
      <c r="AU69">
        <v>0</v>
      </c>
      <c r="AV69">
        <v>0</v>
      </c>
      <c r="AW69">
        <v>-9992</v>
      </c>
      <c r="AX69">
        <v>0</v>
      </c>
      <c r="AY69">
        <v>0</v>
      </c>
      <c r="AZ69">
        <v>-20111</v>
      </c>
      <c r="BA69">
        <v>0</v>
      </c>
      <c r="BB69">
        <v>0</v>
      </c>
      <c r="BC69">
        <v>-10716</v>
      </c>
      <c r="BD69">
        <v>0</v>
      </c>
      <c r="BE69">
        <v>0</v>
      </c>
      <c r="BF69">
        <v>664</v>
      </c>
      <c r="BG69">
        <v>0</v>
      </c>
      <c r="BH69">
        <v>0</v>
      </c>
      <c r="BI69">
        <v>114</v>
      </c>
      <c r="BJ69">
        <v>0</v>
      </c>
      <c r="BK69">
        <v>0</v>
      </c>
      <c r="BL69">
        <v>-9910</v>
      </c>
      <c r="BM69">
        <v>0</v>
      </c>
      <c r="BN69">
        <v>0</v>
      </c>
      <c r="BO69">
        <v>2307</v>
      </c>
      <c r="BP69">
        <v>0</v>
      </c>
      <c r="BQ69">
        <v>0</v>
      </c>
      <c r="BR69">
        <v>-12978</v>
      </c>
      <c r="BS69">
        <v>0</v>
      </c>
      <c r="BT69">
        <v>0</v>
      </c>
      <c r="BU69">
        <v>-16223</v>
      </c>
      <c r="BV69">
        <v>0</v>
      </c>
      <c r="BW69">
        <v>0</v>
      </c>
      <c r="BX69">
        <v>-22524</v>
      </c>
      <c r="BY69">
        <v>0</v>
      </c>
      <c r="BZ69">
        <v>0</v>
      </c>
      <c r="CA69">
        <v>8124</v>
      </c>
      <c r="CB69">
        <v>0</v>
      </c>
      <c r="CC69">
        <v>0</v>
      </c>
      <c r="CD69">
        <v>-7044</v>
      </c>
      <c r="CE69">
        <v>0</v>
      </c>
      <c r="CF69">
        <v>0</v>
      </c>
      <c r="CG69">
        <v>-23466</v>
      </c>
      <c r="CH69">
        <v>0</v>
      </c>
      <c r="CI69">
        <v>0</v>
      </c>
      <c r="CJ69">
        <v>-25068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-44826</v>
      </c>
      <c r="DB69">
        <v>0</v>
      </c>
      <c r="DC69">
        <v>0</v>
      </c>
      <c r="DD69">
        <v>-30738</v>
      </c>
      <c r="DE69">
        <v>0</v>
      </c>
      <c r="DF69">
        <v>0</v>
      </c>
      <c r="DG69">
        <v>10762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-110452</v>
      </c>
      <c r="DN69">
        <v>-5262</v>
      </c>
      <c r="DO69">
        <v>-17321</v>
      </c>
      <c r="DP69">
        <v>-13259</v>
      </c>
      <c r="DQ69">
        <v>-22205</v>
      </c>
      <c r="DR69">
        <v>-52406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-189259</v>
      </c>
      <c r="DZ69">
        <v>-5561</v>
      </c>
      <c r="EA69">
        <v>-20416</v>
      </c>
      <c r="EB69">
        <v>-28272</v>
      </c>
      <c r="EC69">
        <v>-50040</v>
      </c>
      <c r="ED69">
        <v>-84970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-78806</v>
      </c>
      <c r="EL69">
        <v>-299</v>
      </c>
      <c r="EM69">
        <v>-3095</v>
      </c>
      <c r="EN69">
        <v>-15013</v>
      </c>
      <c r="EO69">
        <v>-27835</v>
      </c>
      <c r="EP69">
        <v>-32565</v>
      </c>
      <c r="EQ69">
        <v>0</v>
      </c>
      <c r="ER69">
        <v>0</v>
      </c>
      <c r="ES69">
        <v>0</v>
      </c>
      <c r="ET69">
        <v>-49096</v>
      </c>
      <c r="EU69">
        <v>0</v>
      </c>
      <c r="EV69">
        <v>0</v>
      </c>
      <c r="EW69">
        <v>0</v>
      </c>
    </row>
    <row r="70" spans="1:153" ht="18" x14ac:dyDescent="0.2">
      <c r="A70" t="s">
        <v>180</v>
      </c>
      <c r="B70" t="s">
        <v>192</v>
      </c>
      <c r="C70" t="s">
        <v>221</v>
      </c>
      <c r="D70" t="s">
        <v>229</v>
      </c>
      <c r="E70" t="s">
        <v>244</v>
      </c>
      <c r="G70">
        <v>0</v>
      </c>
      <c r="I70" s="2">
        <v>0</v>
      </c>
      <c r="K70">
        <v>73036</v>
      </c>
      <c r="M70">
        <v>74106</v>
      </c>
      <c r="N70">
        <v>0</v>
      </c>
      <c r="O70">
        <v>0</v>
      </c>
      <c r="P70">
        <v>157184</v>
      </c>
      <c r="Q70">
        <v>0</v>
      </c>
      <c r="R70">
        <v>0</v>
      </c>
      <c r="S70">
        <v>650</v>
      </c>
      <c r="T70">
        <v>0</v>
      </c>
      <c r="U70">
        <v>0</v>
      </c>
      <c r="V70">
        <v>20884</v>
      </c>
      <c r="W70">
        <v>0</v>
      </c>
      <c r="X70">
        <v>0</v>
      </c>
      <c r="Y70">
        <v>2675</v>
      </c>
      <c r="Z70">
        <v>0</v>
      </c>
      <c r="AA70">
        <v>0</v>
      </c>
      <c r="AB70">
        <v>14780</v>
      </c>
      <c r="AC70">
        <v>0</v>
      </c>
      <c r="AD70">
        <v>0</v>
      </c>
      <c r="AE70">
        <v>1028</v>
      </c>
      <c r="AF70">
        <v>0</v>
      </c>
      <c r="AG70">
        <v>0</v>
      </c>
      <c r="AH70">
        <v>432361</v>
      </c>
      <c r="AI70">
        <v>0</v>
      </c>
      <c r="AJ70">
        <v>0</v>
      </c>
      <c r="AK70">
        <v>228337</v>
      </c>
      <c r="AL70">
        <v>0</v>
      </c>
      <c r="AM70">
        <v>0</v>
      </c>
      <c r="AN70">
        <v>14311</v>
      </c>
      <c r="AO70">
        <v>0</v>
      </c>
      <c r="AP70">
        <v>0</v>
      </c>
      <c r="AQ70">
        <v>25784</v>
      </c>
      <c r="AR70">
        <v>0</v>
      </c>
      <c r="AS70">
        <v>0</v>
      </c>
      <c r="AT70">
        <v>244</v>
      </c>
      <c r="AU70">
        <v>0</v>
      </c>
      <c r="AV70">
        <v>0</v>
      </c>
      <c r="AW70">
        <v>65394</v>
      </c>
      <c r="AX70">
        <v>0</v>
      </c>
      <c r="AY70">
        <v>0</v>
      </c>
      <c r="AZ70">
        <v>217160</v>
      </c>
      <c r="BA70">
        <v>0</v>
      </c>
      <c r="BB70">
        <v>0</v>
      </c>
      <c r="BC70">
        <v>153077</v>
      </c>
      <c r="BD70">
        <v>0</v>
      </c>
      <c r="BE70">
        <v>0</v>
      </c>
      <c r="BF70">
        <v>132922</v>
      </c>
      <c r="BG70">
        <v>0</v>
      </c>
      <c r="BH70">
        <v>0</v>
      </c>
      <c r="BI70">
        <v>9103</v>
      </c>
      <c r="BJ70">
        <v>0</v>
      </c>
      <c r="BK70">
        <v>0</v>
      </c>
      <c r="BL70">
        <v>116797</v>
      </c>
      <c r="BM70">
        <v>0</v>
      </c>
      <c r="BN70">
        <v>0</v>
      </c>
      <c r="BO70">
        <v>22317</v>
      </c>
      <c r="BP70">
        <v>0</v>
      </c>
      <c r="BQ70">
        <v>0</v>
      </c>
      <c r="BR70">
        <v>10122</v>
      </c>
      <c r="BS70">
        <v>0</v>
      </c>
      <c r="BT70">
        <v>0</v>
      </c>
      <c r="BU70">
        <v>25443</v>
      </c>
      <c r="BV70">
        <v>0</v>
      </c>
      <c r="BW70">
        <v>0</v>
      </c>
      <c r="BX70">
        <v>15441</v>
      </c>
      <c r="BY70">
        <v>0</v>
      </c>
      <c r="BZ70">
        <v>0</v>
      </c>
      <c r="CA70">
        <v>10733</v>
      </c>
      <c r="CB70">
        <v>0</v>
      </c>
      <c r="CC70">
        <v>0</v>
      </c>
      <c r="CD70">
        <v>568</v>
      </c>
      <c r="CE70">
        <v>0</v>
      </c>
      <c r="CF70">
        <v>0</v>
      </c>
      <c r="CG70">
        <v>339794</v>
      </c>
      <c r="CH70">
        <v>0</v>
      </c>
      <c r="CI70">
        <v>0</v>
      </c>
      <c r="CJ70">
        <v>108821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593573</v>
      </c>
      <c r="DB70">
        <v>0</v>
      </c>
      <c r="DC70">
        <v>0</v>
      </c>
      <c r="DD70">
        <v>163768</v>
      </c>
      <c r="DE70">
        <v>0</v>
      </c>
      <c r="DF70">
        <v>0</v>
      </c>
      <c r="DG70">
        <v>33294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920602</v>
      </c>
      <c r="DN70">
        <v>2216</v>
      </c>
      <c r="DO70">
        <v>2847</v>
      </c>
      <c r="DP70">
        <v>16029</v>
      </c>
      <c r="DQ70">
        <v>103656</v>
      </c>
      <c r="DR70">
        <v>795854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2228409</v>
      </c>
      <c r="DZ70">
        <v>3596</v>
      </c>
      <c r="EA70">
        <v>4577</v>
      </c>
      <c r="EB70">
        <v>19529</v>
      </c>
      <c r="EC70">
        <v>124697</v>
      </c>
      <c r="ED70">
        <v>2076011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1307807</v>
      </c>
      <c r="EL70">
        <v>1380</v>
      </c>
      <c r="EM70">
        <v>1730</v>
      </c>
      <c r="EN70">
        <v>3500</v>
      </c>
      <c r="EO70">
        <v>21040</v>
      </c>
      <c r="EP70">
        <v>1280157</v>
      </c>
      <c r="EQ70">
        <v>0</v>
      </c>
      <c r="ER70">
        <v>0</v>
      </c>
      <c r="ES70">
        <v>0</v>
      </c>
      <c r="ET70">
        <v>153706</v>
      </c>
      <c r="EU70">
        <v>0</v>
      </c>
      <c r="EV70">
        <v>0</v>
      </c>
      <c r="EW70">
        <v>0</v>
      </c>
    </row>
    <row r="71" spans="1:153" ht="18" x14ac:dyDescent="0.2">
      <c r="A71" t="s">
        <v>182</v>
      </c>
      <c r="B71" t="s">
        <v>193</v>
      </c>
      <c r="C71" t="s">
        <v>218</v>
      </c>
      <c r="D71" t="s">
        <v>230</v>
      </c>
      <c r="E71" t="s">
        <v>245</v>
      </c>
      <c r="F71">
        <f>G66+G67+G68+G69-G70</f>
        <v>13471</v>
      </c>
      <c r="G71">
        <v>13471</v>
      </c>
      <c r="H71">
        <f>I66+I67+I68+I69-I70</f>
        <v>13420</v>
      </c>
      <c r="I71" s="2">
        <v>13420</v>
      </c>
      <c r="J71">
        <f>K66+K67+K68+K69-K70</f>
        <v>451119</v>
      </c>
      <c r="K71">
        <v>451119</v>
      </c>
      <c r="L71">
        <f>M66+M67+M68+M69-M70</f>
        <v>436276</v>
      </c>
      <c r="M71">
        <v>436276</v>
      </c>
      <c r="N71">
        <v>464590</v>
      </c>
      <c r="O71">
        <v>1881</v>
      </c>
      <c r="P71">
        <v>402701</v>
      </c>
      <c r="Q71">
        <v>404581</v>
      </c>
      <c r="R71">
        <v>1731</v>
      </c>
      <c r="S71">
        <v>23341</v>
      </c>
      <c r="T71">
        <v>25072</v>
      </c>
      <c r="U71">
        <v>935</v>
      </c>
      <c r="V71">
        <v>41492</v>
      </c>
      <c r="W71">
        <v>42426</v>
      </c>
      <c r="X71">
        <v>6797</v>
      </c>
      <c r="Y71">
        <v>61565</v>
      </c>
      <c r="Z71">
        <v>68362</v>
      </c>
      <c r="AA71">
        <v>5338</v>
      </c>
      <c r="AB71">
        <v>77767</v>
      </c>
      <c r="AC71">
        <v>83105</v>
      </c>
      <c r="AD71">
        <v>3581</v>
      </c>
      <c r="AE71">
        <v>9970</v>
      </c>
      <c r="AF71">
        <v>13551</v>
      </c>
      <c r="AG71">
        <v>1159</v>
      </c>
      <c r="AH71">
        <v>686176</v>
      </c>
      <c r="AI71">
        <v>687336</v>
      </c>
      <c r="AJ71">
        <v>5680</v>
      </c>
      <c r="AK71">
        <v>246127</v>
      </c>
      <c r="AL71">
        <v>251807</v>
      </c>
      <c r="AM71">
        <v>10178</v>
      </c>
      <c r="AN71">
        <v>127709</v>
      </c>
      <c r="AO71">
        <v>137887</v>
      </c>
      <c r="AP71">
        <v>6203</v>
      </c>
      <c r="AQ71">
        <v>124305</v>
      </c>
      <c r="AR71">
        <v>130507</v>
      </c>
      <c r="AS71">
        <v>1567</v>
      </c>
      <c r="AT71">
        <v>31671</v>
      </c>
      <c r="AU71">
        <v>33238</v>
      </c>
      <c r="AV71">
        <v>33768</v>
      </c>
      <c r="AW71">
        <v>123661</v>
      </c>
      <c r="AX71">
        <v>157429</v>
      </c>
      <c r="AY71">
        <v>16737</v>
      </c>
      <c r="AZ71">
        <v>318869</v>
      </c>
      <c r="BA71">
        <v>335606</v>
      </c>
      <c r="BB71">
        <v>7407</v>
      </c>
      <c r="BC71">
        <v>909327</v>
      </c>
      <c r="BD71">
        <v>916734</v>
      </c>
      <c r="BE71">
        <v>4552</v>
      </c>
      <c r="BF71">
        <v>174814</v>
      </c>
      <c r="BG71">
        <v>179366</v>
      </c>
      <c r="BH71">
        <v>2317</v>
      </c>
      <c r="BI71">
        <v>16752</v>
      </c>
      <c r="BJ71">
        <v>19069</v>
      </c>
      <c r="BK71">
        <v>5726</v>
      </c>
      <c r="BL71">
        <v>424081</v>
      </c>
      <c r="BM71">
        <v>429807</v>
      </c>
      <c r="BN71">
        <v>1971</v>
      </c>
      <c r="BO71">
        <v>102807</v>
      </c>
      <c r="BP71">
        <v>104778</v>
      </c>
      <c r="BQ71">
        <v>1071</v>
      </c>
      <c r="BR71">
        <v>133796</v>
      </c>
      <c r="BS71">
        <v>134868</v>
      </c>
      <c r="BT71">
        <v>2352</v>
      </c>
      <c r="BU71">
        <v>225276</v>
      </c>
      <c r="BV71">
        <v>227628</v>
      </c>
      <c r="BW71">
        <v>3454</v>
      </c>
      <c r="BX71">
        <v>420063</v>
      </c>
      <c r="BY71">
        <v>423517</v>
      </c>
      <c r="BZ71">
        <v>2011</v>
      </c>
      <c r="CA71">
        <v>96404</v>
      </c>
      <c r="CB71">
        <v>98415</v>
      </c>
      <c r="CC71">
        <v>1054</v>
      </c>
      <c r="CD71">
        <v>120835</v>
      </c>
      <c r="CE71">
        <v>121889</v>
      </c>
      <c r="CF71">
        <v>834</v>
      </c>
      <c r="CG71">
        <v>678790</v>
      </c>
      <c r="CH71">
        <v>679624</v>
      </c>
      <c r="CI71">
        <v>2304</v>
      </c>
      <c r="CJ71">
        <v>134084</v>
      </c>
      <c r="CK71">
        <v>136388</v>
      </c>
      <c r="CL71">
        <v>439552</v>
      </c>
      <c r="CM71">
        <v>258588</v>
      </c>
      <c r="CN71">
        <v>93702</v>
      </c>
      <c r="CO71">
        <v>497965</v>
      </c>
      <c r="CP71">
        <v>376602</v>
      </c>
      <c r="CQ71">
        <v>20531</v>
      </c>
      <c r="CR71">
        <v>730778</v>
      </c>
      <c r="CS71">
        <v>407042</v>
      </c>
      <c r="CT71">
        <v>451754</v>
      </c>
      <c r="CU71">
        <v>471846</v>
      </c>
      <c r="CV71">
        <v>429041</v>
      </c>
      <c r="CW71">
        <v>112570</v>
      </c>
      <c r="CX71">
        <v>132621</v>
      </c>
      <c r="CY71">
        <v>121819</v>
      </c>
      <c r="CZ71">
        <v>8866</v>
      </c>
      <c r="DA71">
        <v>1150193</v>
      </c>
      <c r="DB71">
        <v>1159059</v>
      </c>
      <c r="DC71">
        <v>9532</v>
      </c>
      <c r="DD71">
        <v>1163958</v>
      </c>
      <c r="DE71">
        <v>1173490</v>
      </c>
      <c r="DF71">
        <v>5549</v>
      </c>
      <c r="DG71">
        <v>230882</v>
      </c>
      <c r="DH71">
        <v>236431</v>
      </c>
      <c r="DI71">
        <v>27907</v>
      </c>
      <c r="DJ71">
        <v>39049</v>
      </c>
      <c r="DK71">
        <v>32242</v>
      </c>
      <c r="DL71">
        <v>99198</v>
      </c>
      <c r="DM71">
        <v>3245485</v>
      </c>
      <c r="DN71">
        <v>36164</v>
      </c>
      <c r="DO71">
        <v>44236</v>
      </c>
      <c r="DP71">
        <v>94030</v>
      </c>
      <c r="DQ71">
        <v>384037</v>
      </c>
      <c r="DR71">
        <v>2687018</v>
      </c>
      <c r="DS71">
        <v>3344683</v>
      </c>
      <c r="DT71">
        <v>2081951</v>
      </c>
      <c r="DU71">
        <v>39096</v>
      </c>
      <c r="DV71">
        <v>58924</v>
      </c>
      <c r="DW71">
        <v>48319</v>
      </c>
      <c r="DX71">
        <v>146338</v>
      </c>
      <c r="DY71">
        <v>6215951</v>
      </c>
      <c r="DZ71">
        <v>60736</v>
      </c>
      <c r="EA71">
        <v>77285</v>
      </c>
      <c r="EB71">
        <v>188661</v>
      </c>
      <c r="EC71">
        <v>640345</v>
      </c>
      <c r="ED71">
        <v>5248924</v>
      </c>
      <c r="EE71">
        <v>6362289</v>
      </c>
      <c r="EF71">
        <v>595404</v>
      </c>
      <c r="EG71">
        <v>11189</v>
      </c>
      <c r="EH71">
        <v>19875</v>
      </c>
      <c r="EI71">
        <v>16077</v>
      </c>
      <c r="EJ71">
        <v>47140</v>
      </c>
      <c r="EK71">
        <v>2970466</v>
      </c>
      <c r="EL71">
        <v>24572</v>
      </c>
      <c r="EM71">
        <v>33049</v>
      </c>
      <c r="EN71">
        <v>94632</v>
      </c>
      <c r="EO71">
        <v>256308</v>
      </c>
      <c r="EP71">
        <v>2561905</v>
      </c>
      <c r="EQ71">
        <v>3017606</v>
      </c>
      <c r="ER71">
        <v>796050</v>
      </c>
      <c r="ES71">
        <v>8017</v>
      </c>
      <c r="ET71">
        <v>606598</v>
      </c>
      <c r="EU71">
        <v>614614</v>
      </c>
      <c r="EV71">
        <v>968269</v>
      </c>
      <c r="EW71">
        <v>698140</v>
      </c>
    </row>
    <row r="72" spans="1:153" ht="18" x14ac:dyDescent="0.2">
      <c r="A72" t="s">
        <v>184</v>
      </c>
      <c r="B72" t="s">
        <v>194</v>
      </c>
      <c r="C72" t="s">
        <v>222</v>
      </c>
      <c r="D72" t="s">
        <v>231</v>
      </c>
      <c r="E72" t="s">
        <v>245</v>
      </c>
      <c r="F72">
        <f>F71+F65</f>
        <v>24139</v>
      </c>
      <c r="G72">
        <v>24140</v>
      </c>
      <c r="H72">
        <f>H71+H65</f>
        <v>22800</v>
      </c>
      <c r="I72" s="2">
        <v>22801</v>
      </c>
      <c r="J72">
        <f>J71+J65</f>
        <v>963670</v>
      </c>
      <c r="K72">
        <v>963670</v>
      </c>
      <c r="L72">
        <f>L71+L65</f>
        <v>954035</v>
      </c>
      <c r="M72">
        <v>954035</v>
      </c>
      <c r="N72">
        <v>987810</v>
      </c>
      <c r="O72">
        <v>5077</v>
      </c>
      <c r="P72">
        <v>740467</v>
      </c>
      <c r="Q72">
        <v>745544</v>
      </c>
      <c r="R72">
        <v>3927</v>
      </c>
      <c r="S72">
        <v>38257</v>
      </c>
      <c r="T72">
        <v>42184</v>
      </c>
      <c r="U72">
        <v>2726</v>
      </c>
      <c r="V72">
        <v>107147</v>
      </c>
      <c r="W72">
        <v>109874</v>
      </c>
      <c r="X72">
        <v>9921</v>
      </c>
      <c r="Y72">
        <v>132813</v>
      </c>
      <c r="Z72">
        <v>142735</v>
      </c>
      <c r="AA72">
        <v>7739</v>
      </c>
      <c r="AB72">
        <v>184985</v>
      </c>
      <c r="AC72">
        <v>192725</v>
      </c>
      <c r="AD72">
        <v>6484</v>
      </c>
      <c r="AE72">
        <v>41737</v>
      </c>
      <c r="AF72">
        <v>48221</v>
      </c>
      <c r="AG72">
        <v>1764</v>
      </c>
      <c r="AH72">
        <v>1311381</v>
      </c>
      <c r="AI72">
        <v>1313144</v>
      </c>
      <c r="AJ72">
        <v>9687</v>
      </c>
      <c r="AK72">
        <v>552656</v>
      </c>
      <c r="AL72">
        <v>562343</v>
      </c>
      <c r="AM72">
        <v>17328</v>
      </c>
      <c r="AN72">
        <v>279697</v>
      </c>
      <c r="AO72">
        <v>297025</v>
      </c>
      <c r="AP72">
        <v>9509</v>
      </c>
      <c r="AQ72">
        <v>248157</v>
      </c>
      <c r="AR72">
        <v>257666</v>
      </c>
      <c r="AS72">
        <v>2433</v>
      </c>
      <c r="AT72">
        <v>45877</v>
      </c>
      <c r="AU72">
        <v>48310</v>
      </c>
      <c r="AV72">
        <v>52668</v>
      </c>
      <c r="AW72">
        <v>276972</v>
      </c>
      <c r="AX72">
        <v>329640</v>
      </c>
      <c r="AY72">
        <v>29362</v>
      </c>
      <c r="AZ72">
        <v>679687</v>
      </c>
      <c r="BA72">
        <v>709048</v>
      </c>
      <c r="BB72">
        <v>14024</v>
      </c>
      <c r="BC72">
        <v>1516539</v>
      </c>
      <c r="BD72">
        <v>1530564</v>
      </c>
      <c r="BE72">
        <v>8042</v>
      </c>
      <c r="BF72">
        <v>354602</v>
      </c>
      <c r="BG72">
        <v>362644</v>
      </c>
      <c r="BH72">
        <v>5032</v>
      </c>
      <c r="BI72">
        <v>64794</v>
      </c>
      <c r="BJ72">
        <v>69825</v>
      </c>
      <c r="BK72">
        <v>10035</v>
      </c>
      <c r="BL72">
        <v>735676</v>
      </c>
      <c r="BM72">
        <v>745711</v>
      </c>
      <c r="BN72">
        <v>2921</v>
      </c>
      <c r="BO72">
        <v>178903</v>
      </c>
      <c r="BP72">
        <v>181823</v>
      </c>
      <c r="BQ72">
        <v>1623</v>
      </c>
      <c r="BR72">
        <v>476878</v>
      </c>
      <c r="BS72">
        <v>478501</v>
      </c>
      <c r="BT72">
        <v>4766</v>
      </c>
      <c r="BU72">
        <v>650221</v>
      </c>
      <c r="BV72">
        <v>654987</v>
      </c>
      <c r="BW72">
        <v>8894</v>
      </c>
      <c r="BX72">
        <v>883703</v>
      </c>
      <c r="BY72">
        <v>892597</v>
      </c>
      <c r="BZ72">
        <v>3652</v>
      </c>
      <c r="CA72">
        <v>187407</v>
      </c>
      <c r="CB72">
        <v>191058</v>
      </c>
      <c r="CC72">
        <v>1590</v>
      </c>
      <c r="CD72">
        <v>313651</v>
      </c>
      <c r="CE72">
        <v>315242</v>
      </c>
      <c r="CF72">
        <v>4725</v>
      </c>
      <c r="CG72">
        <v>1789523</v>
      </c>
      <c r="CH72">
        <v>1794248</v>
      </c>
      <c r="CI72">
        <v>3759</v>
      </c>
      <c r="CJ72">
        <v>635171</v>
      </c>
      <c r="CK72">
        <v>638930</v>
      </c>
      <c r="CL72">
        <v>1048037</v>
      </c>
      <c r="CM72">
        <v>871166</v>
      </c>
      <c r="CN72">
        <v>256940</v>
      </c>
      <c r="CO72">
        <v>1227314</v>
      </c>
      <c r="CP72">
        <v>1210441</v>
      </c>
      <c r="CQ72">
        <v>72137</v>
      </c>
      <c r="CR72">
        <v>1455572</v>
      </c>
      <c r="CS72">
        <v>816584</v>
      </c>
      <c r="CT72">
        <v>1756770</v>
      </c>
      <c r="CU72">
        <v>824169</v>
      </c>
      <c r="CV72">
        <v>1003871</v>
      </c>
      <c r="CW72">
        <v>228618</v>
      </c>
      <c r="CX72">
        <v>252048</v>
      </c>
      <c r="CY72">
        <v>421681</v>
      </c>
      <c r="CZ72">
        <v>19178</v>
      </c>
      <c r="DA72">
        <v>2992400</v>
      </c>
      <c r="DB72">
        <v>3011578</v>
      </c>
      <c r="DC72">
        <v>17238</v>
      </c>
      <c r="DD72">
        <v>2307069</v>
      </c>
      <c r="DE72">
        <v>2324307</v>
      </c>
      <c r="DF72">
        <v>9005</v>
      </c>
      <c r="DG72">
        <v>412187</v>
      </c>
      <c r="DH72">
        <v>421192</v>
      </c>
      <c r="DI72">
        <v>44071</v>
      </c>
      <c r="DJ72">
        <v>66054</v>
      </c>
      <c r="DK72">
        <v>57789</v>
      </c>
      <c r="DL72">
        <v>167914</v>
      </c>
      <c r="DM72">
        <v>6920540</v>
      </c>
      <c r="DN72">
        <v>66999</v>
      </c>
      <c r="DO72">
        <v>110588</v>
      </c>
      <c r="DP72">
        <v>219297</v>
      </c>
      <c r="DQ72">
        <v>804354</v>
      </c>
      <c r="DR72">
        <v>5719301</v>
      </c>
      <c r="DS72">
        <v>7088454</v>
      </c>
      <c r="DT72">
        <v>4925232</v>
      </c>
      <c r="DU72">
        <v>64378</v>
      </c>
      <c r="DV72">
        <v>102160</v>
      </c>
      <c r="DW72">
        <v>89739</v>
      </c>
      <c r="DX72">
        <v>256278</v>
      </c>
      <c r="DY72">
        <v>13580281</v>
      </c>
      <c r="DZ72">
        <v>114534</v>
      </c>
      <c r="EA72">
        <v>185318</v>
      </c>
      <c r="EB72">
        <v>405084</v>
      </c>
      <c r="EC72">
        <v>1350795</v>
      </c>
      <c r="ED72">
        <v>11524550</v>
      </c>
      <c r="EE72">
        <v>13836559</v>
      </c>
      <c r="EF72">
        <v>1150332</v>
      </c>
      <c r="EG72">
        <v>20308</v>
      </c>
      <c r="EH72">
        <v>36106</v>
      </c>
      <c r="EI72">
        <v>31950</v>
      </c>
      <c r="EJ72">
        <v>88364</v>
      </c>
      <c r="EK72">
        <v>6659741</v>
      </c>
      <c r="EL72">
        <v>47535</v>
      </c>
      <c r="EM72">
        <v>74731</v>
      </c>
      <c r="EN72">
        <v>185787</v>
      </c>
      <c r="EO72">
        <v>546441</v>
      </c>
      <c r="EP72">
        <v>5805248</v>
      </c>
      <c r="EQ72">
        <v>6748105</v>
      </c>
      <c r="ER72">
        <v>1906218</v>
      </c>
      <c r="ES72">
        <v>17102</v>
      </c>
      <c r="ET72">
        <v>1708583</v>
      </c>
      <c r="EU72">
        <v>1725685</v>
      </c>
      <c r="EV72">
        <v>2694695</v>
      </c>
      <c r="EW72">
        <v>1919203</v>
      </c>
    </row>
    <row r="73" spans="1:153" ht="18" x14ac:dyDescent="0.2">
      <c r="A73" t="s">
        <v>186</v>
      </c>
      <c r="B73" t="s">
        <v>203</v>
      </c>
      <c r="C73" t="s">
        <v>219</v>
      </c>
      <c r="D73" t="s">
        <v>246</v>
      </c>
      <c r="F73">
        <f>F41-F60</f>
        <v>9281</v>
      </c>
      <c r="G73">
        <v>9280</v>
      </c>
      <c r="H73">
        <f>H41-H60</f>
        <v>8526</v>
      </c>
      <c r="I73" s="2">
        <v>8524</v>
      </c>
      <c r="J73">
        <f>J41-J60</f>
        <v>89328</v>
      </c>
      <c r="K73">
        <v>89328</v>
      </c>
      <c r="L73">
        <f>L41-L60</f>
        <v>78144</v>
      </c>
      <c r="M73">
        <v>78145</v>
      </c>
      <c r="N73">
        <v>98608</v>
      </c>
      <c r="O73">
        <v>1081</v>
      </c>
      <c r="P73">
        <v>-18802</v>
      </c>
      <c r="Q73">
        <v>-17721</v>
      </c>
      <c r="R73">
        <v>1227</v>
      </c>
      <c r="S73">
        <v>8060</v>
      </c>
      <c r="T73">
        <v>9287</v>
      </c>
      <c r="U73">
        <v>1358</v>
      </c>
      <c r="V73">
        <v>23807</v>
      </c>
      <c r="W73">
        <v>25166</v>
      </c>
      <c r="X73">
        <v>4105</v>
      </c>
      <c r="Y73">
        <v>47085</v>
      </c>
      <c r="Z73">
        <v>51189</v>
      </c>
      <c r="AA73">
        <v>3322</v>
      </c>
      <c r="AB73">
        <v>2931</v>
      </c>
      <c r="AC73">
        <v>6253</v>
      </c>
      <c r="AD73">
        <v>1927</v>
      </c>
      <c r="AE73">
        <v>3420</v>
      </c>
      <c r="AF73">
        <v>5347</v>
      </c>
      <c r="AG73">
        <v>680</v>
      </c>
      <c r="AH73">
        <v>19133</v>
      </c>
      <c r="AI73">
        <v>19813</v>
      </c>
      <c r="AJ73">
        <v>4044</v>
      </c>
      <c r="AK73">
        <v>-3540</v>
      </c>
      <c r="AL73">
        <v>504</v>
      </c>
      <c r="AM73">
        <v>4836</v>
      </c>
      <c r="AN73">
        <v>36908</v>
      </c>
      <c r="AO73">
        <v>41744</v>
      </c>
      <c r="AP73">
        <v>3142</v>
      </c>
      <c r="AQ73">
        <v>31577</v>
      </c>
      <c r="AR73">
        <v>34719</v>
      </c>
      <c r="AS73">
        <v>911</v>
      </c>
      <c r="AT73">
        <v>4816</v>
      </c>
      <c r="AU73">
        <v>5727</v>
      </c>
      <c r="AV73">
        <v>23491</v>
      </c>
      <c r="AW73">
        <v>33691</v>
      </c>
      <c r="AX73">
        <v>57182</v>
      </c>
      <c r="AY73">
        <v>12085</v>
      </c>
      <c r="AZ73">
        <v>59548</v>
      </c>
      <c r="BA73">
        <v>71633</v>
      </c>
      <c r="BB73">
        <v>6416</v>
      </c>
      <c r="BC73">
        <v>110087</v>
      </c>
      <c r="BD73">
        <v>116503</v>
      </c>
      <c r="BE73">
        <v>3765</v>
      </c>
      <c r="BF73">
        <v>25691</v>
      </c>
      <c r="BG73">
        <v>29456</v>
      </c>
      <c r="BH73">
        <v>2223</v>
      </c>
      <c r="BI73">
        <v>7152</v>
      </c>
      <c r="BJ73">
        <v>9375</v>
      </c>
      <c r="BK73">
        <v>4175</v>
      </c>
      <c r="BL73">
        <v>54753</v>
      </c>
      <c r="BM73">
        <v>58928</v>
      </c>
      <c r="BN73">
        <v>1330</v>
      </c>
      <c r="BO73">
        <v>30807</v>
      </c>
      <c r="BP73">
        <v>32137</v>
      </c>
      <c r="BQ73">
        <v>667</v>
      </c>
      <c r="BR73">
        <v>-30597</v>
      </c>
      <c r="BS73">
        <v>-29930</v>
      </c>
      <c r="BT73">
        <v>1133</v>
      </c>
      <c r="BU73">
        <v>6623</v>
      </c>
      <c r="BV73">
        <v>7756</v>
      </c>
      <c r="BW73">
        <v>2664</v>
      </c>
      <c r="BX73">
        <v>98600</v>
      </c>
      <c r="BY73">
        <v>101265</v>
      </c>
      <c r="BZ73">
        <v>1709</v>
      </c>
      <c r="CA73">
        <v>22639</v>
      </c>
      <c r="CB73">
        <v>24348</v>
      </c>
      <c r="CC73">
        <v>902</v>
      </c>
      <c r="CD73">
        <v>8208</v>
      </c>
      <c r="CE73">
        <v>9110</v>
      </c>
      <c r="CF73">
        <v>835</v>
      </c>
      <c r="CG73">
        <v>18214</v>
      </c>
      <c r="CH73">
        <v>19049</v>
      </c>
      <c r="CI73">
        <v>1186</v>
      </c>
      <c r="CJ73">
        <v>43960</v>
      </c>
      <c r="CK73">
        <v>45146</v>
      </c>
      <c r="CL73">
        <v>207114</v>
      </c>
      <c r="CM73">
        <v>80036</v>
      </c>
      <c r="CN73">
        <v>4718</v>
      </c>
      <c r="CO73">
        <v>19120</v>
      </c>
      <c r="CP73">
        <v>56120</v>
      </c>
      <c r="CQ73">
        <v>-2635</v>
      </c>
      <c r="CR73">
        <v>68968</v>
      </c>
      <c r="CS73">
        <v>65694</v>
      </c>
      <c r="CT73">
        <v>-55017</v>
      </c>
      <c r="CU73">
        <v>64821</v>
      </c>
      <c r="CV73">
        <v>38704</v>
      </c>
      <c r="CW73">
        <v>15045</v>
      </c>
      <c r="CX73">
        <v>98982</v>
      </c>
      <c r="CY73">
        <v>2653</v>
      </c>
      <c r="CZ73">
        <v>6011</v>
      </c>
      <c r="DA73">
        <v>21297</v>
      </c>
      <c r="DB73">
        <v>27308</v>
      </c>
      <c r="DC73">
        <v>7984</v>
      </c>
      <c r="DD73">
        <v>87698</v>
      </c>
      <c r="DE73">
        <v>95683</v>
      </c>
      <c r="DF73">
        <v>3950</v>
      </c>
      <c r="DG73">
        <v>58262</v>
      </c>
      <c r="DH73">
        <v>62212</v>
      </c>
      <c r="DI73">
        <v>20905</v>
      </c>
      <c r="DJ73">
        <v>28445</v>
      </c>
      <c r="DK73">
        <v>20906</v>
      </c>
      <c r="DL73">
        <v>70256</v>
      </c>
      <c r="DM73">
        <v>553023</v>
      </c>
      <c r="DN73">
        <v>24702</v>
      </c>
      <c r="DO73">
        <v>29303</v>
      </c>
      <c r="DP73">
        <v>41660</v>
      </c>
      <c r="DQ73">
        <v>108606</v>
      </c>
      <c r="DR73">
        <v>348752</v>
      </c>
      <c r="DS73">
        <v>623279</v>
      </c>
      <c r="DT73">
        <v>141831</v>
      </c>
      <c r="DU73">
        <v>27689</v>
      </c>
      <c r="DV73">
        <v>41068</v>
      </c>
      <c r="DW73">
        <v>31221</v>
      </c>
      <c r="DX73">
        <v>99978</v>
      </c>
      <c r="DY73">
        <v>739105</v>
      </c>
      <c r="DZ73">
        <v>38233</v>
      </c>
      <c r="EA73">
        <v>44376</v>
      </c>
      <c r="EB73">
        <v>79552</v>
      </c>
      <c r="EC73">
        <v>184695</v>
      </c>
      <c r="ED73">
        <v>392250</v>
      </c>
      <c r="EE73">
        <v>839083</v>
      </c>
      <c r="EF73">
        <v>5938</v>
      </c>
      <c r="EG73">
        <v>6784</v>
      </c>
      <c r="EH73">
        <v>12623</v>
      </c>
      <c r="EI73">
        <v>10315</v>
      </c>
      <c r="EJ73">
        <v>29722</v>
      </c>
      <c r="EK73">
        <v>186082</v>
      </c>
      <c r="EL73">
        <v>13531</v>
      </c>
      <c r="EM73">
        <v>15073</v>
      </c>
      <c r="EN73">
        <v>37892</v>
      </c>
      <c r="EO73">
        <v>76089</v>
      </c>
      <c r="EP73">
        <v>43498</v>
      </c>
      <c r="EQ73">
        <v>215804</v>
      </c>
      <c r="ER73">
        <v>155384</v>
      </c>
      <c r="ES73">
        <v>5337</v>
      </c>
      <c r="ET73">
        <v>147565</v>
      </c>
      <c r="EU73">
        <v>152902</v>
      </c>
      <c r="EV73">
        <v>79957</v>
      </c>
      <c r="EW73">
        <v>287150</v>
      </c>
    </row>
    <row r="74" spans="1:153" x14ac:dyDescent="0.2">
      <c r="A74" t="s">
        <v>223</v>
      </c>
      <c r="F74">
        <f>F72-F48</f>
        <v>-1</v>
      </c>
      <c r="H74">
        <f>H72-H48</f>
        <v>-2</v>
      </c>
      <c r="J74">
        <f>J72-J48</f>
        <v>0</v>
      </c>
      <c r="L74">
        <f>L72-L48</f>
        <v>0</v>
      </c>
    </row>
    <row r="75" spans="1:153" x14ac:dyDescent="0.2">
      <c r="H7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BERNSTEIN</dc:creator>
  <cp:lastModifiedBy>Martin BERNSTEIN</cp:lastModifiedBy>
  <dcterms:created xsi:type="dcterms:W3CDTF">2025-10-01T22:02:43Z</dcterms:created>
  <dcterms:modified xsi:type="dcterms:W3CDTF">2025-10-05T11:46:30Z</dcterms:modified>
</cp:coreProperties>
</file>